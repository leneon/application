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rdinateur\Desktop\"/>
    </mc:Choice>
  </mc:AlternateContent>
  <xr:revisionPtr revIDLastSave="0" documentId="13_ncr:1_{76781732-E90D-4F6D-9376-1B49B4A1AE86}" xr6:coauthVersionLast="47" xr6:coauthVersionMax="47" xr10:uidLastSave="{00000000-0000-0000-0000-000000000000}"/>
  <bookViews>
    <workbookView xWindow="-120" yWindow="-120" windowWidth="21840" windowHeight="13740" activeTab="1" xr2:uid="{00000000-000D-0000-FFFF-FFFF00000000}"/>
  </bookViews>
  <sheets>
    <sheet name="Accueil" sheetId="1" r:id="rId1"/>
    <sheet name="Article" sheetId="2" r:id="rId2"/>
    <sheet name="Comande" sheetId="3" r:id="rId3"/>
    <sheet name="Pgae Com." sheetId="4" r:id="rId4"/>
    <sheet name="Entré-Sortie" sheetId="5" r:id="rId5"/>
    <sheet name="Fournisseur" sheetId="6" r:id="rId6"/>
    <sheet name="Client" sheetId="7" r:id="rId7"/>
    <sheet name="Config" sheetId="8" r:id="rId8"/>
  </sheets>
  <definedNames>
    <definedName name="article">Tableau3[[Nr Article ]]</definedName>
    <definedName name="commande">Tableau6[Nr .com]</definedName>
    <definedName name="customer">Tableau5[Nom]</definedName>
    <definedName name="Supplier">Tableau2[Nom]</definedName>
    <definedName name="Tableau4">Tableau6[]</definedName>
    <definedName name="_xlnm.Print_Area" localSheetId="3">'Pgae Com.'!$B$7:$G$51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2" l="1"/>
  <c r="G11" i="2" s="1"/>
  <c r="J17" i="5"/>
  <c r="K17" i="5"/>
  <c r="L17" i="5"/>
  <c r="J16" i="5"/>
  <c r="K16" i="5"/>
  <c r="L16" i="5"/>
  <c r="H14" i="3"/>
  <c r="J14" i="3" a="1"/>
  <c r="J14" i="3" s="1"/>
  <c r="K14" i="3" s="1" a="1"/>
  <c r="K14" i="3" s="1"/>
  <c r="F10" i="2"/>
  <c r="G10" i="2" s="1"/>
  <c r="J15" i="5"/>
  <c r="K15" i="5"/>
  <c r="L15" i="5"/>
  <c r="J14" i="5"/>
  <c r="K14" i="5"/>
  <c r="L14" i="5"/>
  <c r="J13" i="5"/>
  <c r="K13" i="5"/>
  <c r="L13" i="5"/>
  <c r="H13" i="3"/>
  <c r="J13" i="3" a="1"/>
  <c r="J13" i="3" s="1"/>
  <c r="K13" i="3" s="1" a="1"/>
  <c r="K13" i="3" s="1"/>
  <c r="H12" i="3"/>
  <c r="J12" i="3" a="1"/>
  <c r="J12" i="3" s="1"/>
  <c r="K12" i="3" s="1" a="1"/>
  <c r="K12" i="3" s="1"/>
  <c r="J12" i="5"/>
  <c r="K12" i="5"/>
  <c r="L12" i="5"/>
  <c r="H11" i="3"/>
  <c r="J11" i="3" a="1"/>
  <c r="J11" i="3" s="1"/>
  <c r="K11" i="3" s="1" a="1"/>
  <c r="K11" i="3" s="1"/>
  <c r="F9" i="2"/>
  <c r="G9" i="2" s="1"/>
  <c r="F6" i="2"/>
  <c r="F7" i="2"/>
  <c r="F8" i="2"/>
  <c r="I11" i="2" l="1"/>
  <c r="I10" i="2"/>
  <c r="I9" i="2"/>
  <c r="J11" i="5"/>
  <c r="K11" i="5"/>
  <c r="L11" i="5"/>
  <c r="J10" i="5"/>
  <c r="K10" i="5"/>
  <c r="L10" i="5"/>
  <c r="H10" i="3"/>
  <c r="J10" i="3" a="1"/>
  <c r="J10" i="3" s="1"/>
  <c r="K10" i="3" s="1" a="1"/>
  <c r="K10" i="3" s="1"/>
  <c r="H9" i="3"/>
  <c r="J9" i="3" a="1"/>
  <c r="J9" i="3" s="1"/>
  <c r="K9" i="3" s="1" a="1"/>
  <c r="K9" i="3" s="1"/>
  <c r="J9" i="5"/>
  <c r="L9" i="5" s="1"/>
  <c r="K9" i="5"/>
  <c r="J8" i="5"/>
  <c r="L8" i="5" s="1"/>
  <c r="K8" i="5"/>
  <c r="J7" i="5"/>
  <c r="L7" i="5" s="1"/>
  <c r="K7" i="5"/>
  <c r="J6" i="5"/>
  <c r="K6" i="5"/>
  <c r="L6" i="5"/>
  <c r="J5" i="5"/>
  <c r="K5" i="5"/>
  <c r="L5" i="5"/>
  <c r="H8" i="3"/>
  <c r="J8" i="3" a="1"/>
  <c r="J8" i="3" s="1"/>
  <c r="K8" i="3" s="1" a="1"/>
  <c r="K8" i="3" s="1"/>
  <c r="H7" i="3"/>
  <c r="J7" i="3" a="1"/>
  <c r="J7" i="3" s="1"/>
  <c r="K7" i="3" s="1" a="1"/>
  <c r="K7" i="3" s="1"/>
  <c r="H6" i="3"/>
  <c r="J6" i="3" a="1"/>
  <c r="J6" i="3" s="1"/>
  <c r="K6" i="3" s="1" a="1"/>
  <c r="K6" i="3" s="1"/>
  <c r="D51" i="8" l="1"/>
  <c r="G8" i="2"/>
  <c r="I8" i="2"/>
  <c r="G7" i="2"/>
  <c r="I7" i="2"/>
  <c r="G6" i="2"/>
  <c r="I6" i="2"/>
  <c r="I8" i="6"/>
  <c r="I9" i="6"/>
  <c r="I10" i="6"/>
  <c r="I7" i="7"/>
  <c r="I8" i="7"/>
  <c r="I9" i="7"/>
  <c r="I10" i="7"/>
  <c r="I6" i="7" l="1"/>
  <c r="I7" i="6"/>
  <c r="D47" i="8" l="1"/>
  <c r="I6" i="6"/>
  <c r="D50" i="8" l="1"/>
  <c r="C18" i="4"/>
  <c r="B48" i="4"/>
  <c r="F52" i="8" l="1"/>
  <c r="E52" i="8"/>
  <c r="D52" i="8"/>
  <c r="E22" i="8"/>
  <c r="E21" i="8"/>
  <c r="C33" i="4" a="1"/>
  <c r="C33" i="4" s="1"/>
  <c r="B33" i="4" s="1"/>
  <c r="D33" i="4" a="1"/>
  <c r="D33" i="4" s="1"/>
  <c r="E33" i="4" a="1"/>
  <c r="E33" i="4" s="1"/>
  <c r="F33" i="4" a="1"/>
  <c r="F33" i="4" s="1"/>
  <c r="C34" i="4" a="1"/>
  <c r="C34" i="4" s="1"/>
  <c r="B34" i="4" s="1"/>
  <c r="D34" i="4" a="1"/>
  <c r="D34" i="4" s="1"/>
  <c r="E34" i="4" a="1"/>
  <c r="E34" i="4" s="1"/>
  <c r="F34" i="4" a="1"/>
  <c r="F34" i="4" s="1"/>
  <c r="C35" i="4" a="1"/>
  <c r="C35" i="4" s="1"/>
  <c r="B35" i="4" s="1"/>
  <c r="D35" i="4" a="1"/>
  <c r="D35" i="4" s="1"/>
  <c r="E35" i="4" a="1"/>
  <c r="E35" i="4" s="1"/>
  <c r="F35" i="4" a="1"/>
  <c r="F35" i="4" s="1"/>
  <c r="C36" i="4" a="1"/>
  <c r="C36" i="4" s="1"/>
  <c r="B36" i="4" s="1"/>
  <c r="D36" i="4" a="1"/>
  <c r="D36" i="4" s="1"/>
  <c r="E36" i="4" a="1"/>
  <c r="E36" i="4" s="1"/>
  <c r="F36" i="4" a="1"/>
  <c r="F36" i="4" s="1"/>
  <c r="C37" i="4" a="1"/>
  <c r="C37" i="4" s="1"/>
  <c r="B37" i="4" s="1"/>
  <c r="D37" i="4" a="1"/>
  <c r="D37" i="4" s="1"/>
  <c r="E37" i="4" a="1"/>
  <c r="E37" i="4" s="1"/>
  <c r="F37" i="4" a="1"/>
  <c r="F37" i="4" s="1"/>
  <c r="C38" i="4" a="1"/>
  <c r="C38" i="4" s="1"/>
  <c r="B38" i="4" s="1"/>
  <c r="D38" i="4" a="1"/>
  <c r="D38" i="4" s="1"/>
  <c r="E38" i="4" a="1"/>
  <c r="E38" i="4" s="1"/>
  <c r="F38" i="4" a="1"/>
  <c r="F38" i="4" s="1"/>
  <c r="C39" i="4" a="1"/>
  <c r="C39" i="4" s="1"/>
  <c r="B39" i="4" s="1"/>
  <c r="D39" i="4" a="1"/>
  <c r="D39" i="4" s="1"/>
  <c r="E39" i="4" a="1"/>
  <c r="E39" i="4" s="1"/>
  <c r="F39" i="4" a="1"/>
  <c r="F39" i="4" s="1"/>
  <c r="C40" i="4" a="1"/>
  <c r="C40" i="4" s="1"/>
  <c r="B40" i="4" s="1"/>
  <c r="D40" i="4" a="1"/>
  <c r="D40" i="4" s="1"/>
  <c r="E40" i="4" a="1"/>
  <c r="E40" i="4" s="1"/>
  <c r="F40" i="4" a="1"/>
  <c r="F40" i="4" s="1"/>
  <c r="C41" i="4" a="1"/>
  <c r="C41" i="4" s="1"/>
  <c r="B41" i="4" s="1"/>
  <c r="D41" i="4" a="1"/>
  <c r="D41" i="4" s="1"/>
  <c r="E41" i="4" a="1"/>
  <c r="E41" i="4" s="1"/>
  <c r="F41" i="4" a="1"/>
  <c r="F41" i="4" s="1"/>
  <c r="C42" i="4" a="1"/>
  <c r="C42" i="4" s="1"/>
  <c r="B42" i="4" s="1"/>
  <c r="D42" i="4" a="1"/>
  <c r="D42" i="4" s="1"/>
  <c r="E42" i="4" a="1"/>
  <c r="E42" i="4" s="1"/>
  <c r="F42" i="4" a="1"/>
  <c r="F42" i="4" s="1"/>
  <c r="C43" i="4" a="1"/>
  <c r="C43" i="4" s="1"/>
  <c r="B43" i="4" s="1"/>
  <c r="D43" i="4" a="1"/>
  <c r="D43" i="4" s="1"/>
  <c r="E43" i="4" a="1"/>
  <c r="E43" i="4" s="1"/>
  <c r="F43" i="4" a="1"/>
  <c r="F43" i="4" s="1"/>
  <c r="C44" i="4" a="1"/>
  <c r="C44" i="4" s="1"/>
  <c r="B44" i="4" s="1"/>
  <c r="D44" i="4" a="1"/>
  <c r="D44" i="4" s="1"/>
  <c r="E44" i="4" a="1"/>
  <c r="E44" i="4" s="1"/>
  <c r="F44" i="4" a="1"/>
  <c r="F44" i="4" s="1"/>
  <c r="C45" i="4" a="1"/>
  <c r="C45" i="4" s="1"/>
  <c r="B45" i="4" s="1"/>
  <c r="D45" i="4" a="1"/>
  <c r="D45" i="4" s="1"/>
  <c r="E45" i="4" a="1"/>
  <c r="E45" i="4" s="1"/>
  <c r="F45" i="4" a="1"/>
  <c r="F45" i="4" s="1"/>
  <c r="C46" i="4" a="1"/>
  <c r="C46" i="4" s="1"/>
  <c r="B46" i="4" s="1"/>
  <c r="D46" i="4" a="1"/>
  <c r="D46" i="4" s="1"/>
  <c r="E46" i="4" a="1"/>
  <c r="E46" i="4" s="1"/>
  <c r="F46" i="4" a="1"/>
  <c r="F46" i="4" s="1"/>
  <c r="C32" i="4" a="1"/>
  <c r="C32" i="4" s="1"/>
  <c r="B32" i="4" s="1"/>
  <c r="D32" i="4" a="1"/>
  <c r="D32" i="4" s="1"/>
  <c r="E32" i="4" a="1"/>
  <c r="E32" i="4" s="1"/>
  <c r="F32" i="4" a="1"/>
  <c r="F32" i="4" s="1"/>
  <c r="D24" i="4" a="1"/>
  <c r="D24" i="4" s="1"/>
  <c r="G16" i="4"/>
  <c r="G18" i="4" s="1"/>
  <c r="D48" i="8" l="1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11" i="4"/>
  <c r="C20" i="4"/>
  <c r="C19" i="4"/>
  <c r="C17" i="4"/>
  <c r="C16" i="4"/>
  <c r="F47" i="4" a="1"/>
  <c r="F47" i="4" s="1"/>
  <c r="E47" i="4" a="1"/>
  <c r="E47" i="4" s="1"/>
  <c r="D47" i="4" a="1"/>
  <c r="D47" i="4" s="1"/>
  <c r="C47" i="4" a="1"/>
  <c r="C47" i="4" s="1"/>
  <c r="B47" i="4" s="1"/>
  <c r="F31" i="4" a="1"/>
  <c r="F31" i="4" s="1"/>
  <c r="E31" i="4" a="1"/>
  <c r="E31" i="4" s="1"/>
  <c r="D31" i="4" a="1"/>
  <c r="D31" i="4" s="1"/>
  <c r="C31" i="4" a="1"/>
  <c r="C31" i="4" s="1"/>
  <c r="B31" i="4" s="1"/>
  <c r="F30" i="4" a="1"/>
  <c r="F30" i="4" s="1"/>
  <c r="E30" i="4" a="1"/>
  <c r="E30" i="4" s="1"/>
  <c r="D30" i="4" a="1"/>
  <c r="D30" i="4" s="1"/>
  <c r="C30" i="4" a="1"/>
  <c r="C30" i="4" s="1"/>
  <c r="B30" i="4" s="1"/>
  <c r="F29" i="4" a="1"/>
  <c r="F29" i="4" s="1"/>
  <c r="E29" i="4" a="1"/>
  <c r="E29" i="4" s="1"/>
  <c r="D29" i="4" a="1"/>
  <c r="D29" i="4" s="1"/>
  <c r="C29" i="4" a="1"/>
  <c r="C29" i="4" s="1"/>
  <c r="B29" i="4" s="1"/>
  <c r="F28" i="4" a="1"/>
  <c r="F28" i="4" s="1"/>
  <c r="E28" i="4" a="1"/>
  <c r="E28" i="4" s="1"/>
  <c r="D28" i="4" a="1"/>
  <c r="D28" i="4" s="1"/>
  <c r="C28" i="4" a="1"/>
  <c r="C28" i="4" s="1"/>
  <c r="B28" i="4" s="1"/>
  <c r="F27" i="4" a="1"/>
  <c r="F27" i="4" s="1"/>
  <c r="E27" i="4" a="1"/>
  <c r="E27" i="4" s="1"/>
  <c r="D27" i="4" a="1"/>
  <c r="D27" i="4" s="1"/>
  <c r="C27" i="4" a="1"/>
  <c r="C27" i="4" s="1"/>
  <c r="B27" i="4" s="1"/>
  <c r="F26" i="4" a="1"/>
  <c r="F26" i="4" s="1"/>
  <c r="E26" i="4" a="1"/>
  <c r="E26" i="4" s="1"/>
  <c r="D26" i="4" a="1"/>
  <c r="D26" i="4" s="1"/>
  <c r="C26" i="4" a="1"/>
  <c r="C26" i="4" s="1"/>
  <c r="B26" i="4" s="1"/>
  <c r="F25" i="4" a="1"/>
  <c r="F25" i="4" s="1"/>
  <c r="E25" i="4" a="1"/>
  <c r="E25" i="4" s="1"/>
  <c r="D25" i="4" a="1"/>
  <c r="D25" i="4" s="1"/>
  <c r="C25" i="4" a="1"/>
  <c r="C25" i="4" s="1"/>
  <c r="B25" i="4" s="1"/>
  <c r="F24" i="4" a="1"/>
  <c r="F24" i="4" s="1"/>
  <c r="E24" i="4" a="1"/>
  <c r="E24" i="4" s="1"/>
  <c r="C24" i="4" a="1"/>
  <c r="C24" i="4" s="1"/>
  <c r="B24" i="4" s="1"/>
  <c r="F23" i="4" a="1"/>
  <c r="F23" i="4" s="1"/>
  <c r="E23" i="4" a="1"/>
  <c r="E23" i="4" s="1"/>
  <c r="D23" i="4" a="1"/>
  <c r="D23" i="4" s="1"/>
  <c r="C23" i="4" a="1"/>
  <c r="C23" i="4" s="1"/>
  <c r="G20" i="4" l="1"/>
  <c r="G19" i="4"/>
  <c r="G17" i="4"/>
  <c r="G23" i="4"/>
  <c r="G24" i="4"/>
  <c r="G25" i="4"/>
  <c r="G26" i="4"/>
  <c r="G27" i="4"/>
  <c r="G28" i="4"/>
  <c r="G29" i="4"/>
  <c r="G30" i="4"/>
  <c r="G31" i="4"/>
  <c r="G47" i="4"/>
  <c r="E20" i="8"/>
  <c r="E19" i="8"/>
  <c r="D49" i="8"/>
  <c r="G48" i="4" l="1"/>
  <c r="G49" i="4" s="1"/>
  <c r="G50" i="4" s="1"/>
  <c r="B23" i="4"/>
</calcChain>
</file>

<file path=xl/sharedStrings.xml><?xml version="1.0" encoding="utf-8"?>
<sst xmlns="http://schemas.openxmlformats.org/spreadsheetml/2006/main" count="303" uniqueCount="166">
  <si>
    <t>Description</t>
  </si>
  <si>
    <t>&gt;10</t>
  </si>
  <si>
    <t>10</t>
  </si>
  <si>
    <t>9</t>
  </si>
  <si>
    <t>8</t>
  </si>
  <si>
    <t>7</t>
  </si>
  <si>
    <t>6</t>
  </si>
  <si>
    <t>5</t>
  </si>
  <si>
    <t>4</t>
  </si>
  <si>
    <t>3</t>
  </si>
  <si>
    <t>2</t>
  </si>
  <si>
    <t>1</t>
  </si>
  <si>
    <t>Vide</t>
  </si>
  <si>
    <t>Statuts</t>
  </si>
  <si>
    <t>Flag</t>
  </si>
  <si>
    <t>stock min</t>
  </si>
  <si>
    <t>Valeur stock</t>
  </si>
  <si>
    <t>Stock</t>
  </si>
  <si>
    <t>Prix unité</t>
  </si>
  <si>
    <t>Nom</t>
  </si>
  <si>
    <t>Togo</t>
  </si>
  <si>
    <t>Mail</t>
  </si>
  <si>
    <t>Téléphone</t>
  </si>
  <si>
    <t>Pays</t>
  </si>
  <si>
    <t>Ville</t>
  </si>
  <si>
    <t>Cp</t>
  </si>
  <si>
    <t>Adresse</t>
  </si>
  <si>
    <t>ART-</t>
  </si>
  <si>
    <t>Article</t>
  </si>
  <si>
    <t>Suffix</t>
  </si>
  <si>
    <t>Nr .com</t>
  </si>
  <si>
    <t>Date</t>
  </si>
  <si>
    <t>Nr Articel</t>
  </si>
  <si>
    <t>Prix</t>
  </si>
  <si>
    <t>Nombre</t>
  </si>
  <si>
    <t>Prix total</t>
  </si>
  <si>
    <t>Fournisseur</t>
  </si>
  <si>
    <t>Order</t>
  </si>
  <si>
    <t>Bon de commande</t>
  </si>
  <si>
    <t>Date :</t>
  </si>
  <si>
    <t>Rue</t>
  </si>
  <si>
    <t>Postal</t>
  </si>
  <si>
    <t>Tel</t>
  </si>
  <si>
    <t>Fournisseur:</t>
  </si>
  <si>
    <t>Shipping Address :</t>
  </si>
  <si>
    <t>Nr</t>
  </si>
  <si>
    <t>Nr Article</t>
  </si>
  <si>
    <t>Total</t>
  </si>
  <si>
    <t>TVA 21%</t>
  </si>
  <si>
    <t>Total TTC</t>
  </si>
  <si>
    <t>Bon de Commande</t>
  </si>
  <si>
    <t>Entreprise</t>
  </si>
  <si>
    <t>Code Postal</t>
  </si>
  <si>
    <t>Mai</t>
  </si>
  <si>
    <t>Condition</t>
  </si>
  <si>
    <t>Sans Nom</t>
  </si>
  <si>
    <t>2e Rue</t>
  </si>
  <si>
    <t>Lomé</t>
  </si>
  <si>
    <t>002280000</t>
  </si>
  <si>
    <t>Lomé@gmail.com</t>
  </si>
  <si>
    <t>Groupe</t>
  </si>
  <si>
    <t xml:space="preserve">Type </t>
  </si>
  <si>
    <t xml:space="preserve">Nr Facture </t>
  </si>
  <si>
    <t xml:space="preserve">Client </t>
  </si>
  <si>
    <t>Ranking</t>
  </si>
  <si>
    <t>Nr Bon de Com.</t>
  </si>
  <si>
    <t>Booking</t>
  </si>
  <si>
    <t/>
  </si>
  <si>
    <t>Facture</t>
  </si>
  <si>
    <t>FAC-</t>
  </si>
  <si>
    <t>Contrôle</t>
  </si>
  <si>
    <t>check</t>
  </si>
  <si>
    <t xml:space="preserve">Nr Article </t>
  </si>
  <si>
    <t>Texte de condition et renseignement</t>
  </si>
  <si>
    <t>Tableau de Bord</t>
  </si>
  <si>
    <t>widegt1</t>
  </si>
  <si>
    <t>widegt2</t>
  </si>
  <si>
    <t>widegt3</t>
  </si>
  <si>
    <t>widegt4</t>
  </si>
  <si>
    <t>widegt5</t>
  </si>
  <si>
    <t>widegt6</t>
  </si>
  <si>
    <t>Valeur du stock</t>
  </si>
  <si>
    <t>Article en coomande</t>
  </si>
  <si>
    <t>Article Critique</t>
  </si>
  <si>
    <t>Nombre d'Article en stock</t>
  </si>
  <si>
    <t>Top 3 articles Vendue</t>
  </si>
  <si>
    <t xml:space="preserve">  </t>
  </si>
  <si>
    <t xml:space="preserve"> </t>
  </si>
  <si>
    <t>Page1</t>
  </si>
  <si>
    <t>Page2</t>
  </si>
  <si>
    <t>Page3</t>
  </si>
  <si>
    <t>Page4</t>
  </si>
  <si>
    <t>Page5</t>
  </si>
  <si>
    <t>Page6</t>
  </si>
  <si>
    <t>Page7</t>
  </si>
  <si>
    <t>Page8</t>
  </si>
  <si>
    <t>Config</t>
  </si>
  <si>
    <t>Navigation Item</t>
  </si>
  <si>
    <t>Active</t>
  </si>
  <si>
    <t>Kamal</t>
  </si>
  <si>
    <t>Avedji</t>
  </si>
  <si>
    <t>Toge</t>
  </si>
  <si>
    <t>00909091</t>
  </si>
  <si>
    <t>lomé@gmail.com</t>
  </si>
  <si>
    <t>Entrée</t>
  </si>
  <si>
    <t>Nadoh</t>
  </si>
  <si>
    <t>Vakpo</t>
  </si>
  <si>
    <t>Kara</t>
  </si>
  <si>
    <t>00900900</t>
  </si>
  <si>
    <t>Kara@gmail.com</t>
  </si>
  <si>
    <t>Sortie</t>
  </si>
  <si>
    <t>Julien</t>
  </si>
  <si>
    <t>Avenou</t>
  </si>
  <si>
    <t>00228 70898289</t>
  </si>
  <si>
    <t>Julien@gmail.com</t>
  </si>
  <si>
    <t>Aliou</t>
  </si>
  <si>
    <t>00228 90202920</t>
  </si>
  <si>
    <t>Ali@gmail.com</t>
  </si>
  <si>
    <t>Kadi</t>
  </si>
  <si>
    <t>Dekon</t>
  </si>
  <si>
    <t>00228 9809090</t>
  </si>
  <si>
    <t>Kadi@gmail.com</t>
  </si>
  <si>
    <t>ART-0001</t>
  </si>
  <si>
    <t>ART-0002</t>
  </si>
  <si>
    <t>ORD-0001</t>
  </si>
  <si>
    <t>FAC-0001</t>
  </si>
  <si>
    <t>FAC-0002</t>
  </si>
  <si>
    <t>FAC-0004</t>
  </si>
  <si>
    <t>FAC-0005</t>
  </si>
  <si>
    <t>ART-0003</t>
  </si>
  <si>
    <t>Prix Total</t>
  </si>
  <si>
    <t>Total vendue</t>
  </si>
  <si>
    <t xml:space="preserve">Prix Total Vendue </t>
  </si>
  <si>
    <t>Accueil</t>
  </si>
  <si>
    <t>Commande</t>
  </si>
  <si>
    <t>Page Com.</t>
  </si>
  <si>
    <t>Entré - Sortie</t>
  </si>
  <si>
    <t>Client</t>
  </si>
  <si>
    <t>COM-</t>
  </si>
  <si>
    <t>E/S-</t>
  </si>
  <si>
    <t>Itel 150</t>
  </si>
  <si>
    <t>la descriprion du telephone</t>
  </si>
  <si>
    <t>IPhoe11</t>
  </si>
  <si>
    <t>un nouveau téléphone de grand taille</t>
  </si>
  <si>
    <t>Digital</t>
  </si>
  <si>
    <t>qu'est ce que c'est?</t>
  </si>
  <si>
    <t>COM-0001</t>
  </si>
  <si>
    <t>COM-0002</t>
  </si>
  <si>
    <t>FAC-0003</t>
  </si>
  <si>
    <t>COM-0003</t>
  </si>
  <si>
    <t>ART-0004</t>
  </si>
  <si>
    <t>montre</t>
  </si>
  <si>
    <t xml:space="preserve">une montre </t>
  </si>
  <si>
    <t>COM-0004</t>
  </si>
  <si>
    <t>FAC-0006</t>
  </si>
  <si>
    <t>FAC-0007</t>
  </si>
  <si>
    <t>FAC-0008</t>
  </si>
  <si>
    <t>ART-0005</t>
  </si>
  <si>
    <t>xsdfghjkl</t>
  </si>
  <si>
    <t>"z-ft_yhuçijhuç_yg_trd</t>
  </si>
  <si>
    <t>COM-0005</t>
  </si>
  <si>
    <t>FAC-0009</t>
  </si>
  <si>
    <t>FAC-0010</t>
  </si>
  <si>
    <t>ART-0006</t>
  </si>
  <si>
    <t>ftiuojuu</t>
  </si>
  <si>
    <t>rdytufytr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</si>
</sst>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&quot;Insuffisant&quot;"/>
    <numFmt numFmtId="167" formatCode="#,##0.00\ &quot;€&quot;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i/>
      <sz val="18"/>
      <color theme="8"/>
      <name val="Algerian"/>
      <family val="5"/>
    </font>
    <font>
      <sz val="18"/>
      <color theme="1"/>
      <name val="Calibri"/>
      <family val="2"/>
      <scheme val="minor"/>
    </font>
    <font>
      <sz val="36"/>
      <color rgb="FFC00000"/>
      <name val="Bodoni MT Condensed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Bahnschrift SemiCondensed"/>
      <family val="2"/>
    </font>
    <font>
      <b/>
      <u/>
      <sz val="12"/>
      <color rgb="FFFF0000"/>
      <name val="Calibri"/>
      <family val="2"/>
      <scheme val="minor"/>
    </font>
    <font>
      <b/>
      <sz val="12"/>
      <color theme="1"/>
      <name val="Bahnschrift Light"/>
      <family val="2"/>
    </font>
    <font>
      <sz val="11"/>
      <color theme="9"/>
      <name val="Calibri"/>
      <family val="2"/>
      <scheme val="minor"/>
    </font>
    <font>
      <sz val="12"/>
      <color rgb="FF00206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2" fillId="0" borderId="1" xfId="0" applyFont="1" applyBorder="1" applyAlignment="1">
      <alignment horizontal="center"/>
    </xf>
    <xf numFmtId="165" fontId="0" fillId="0" borderId="0" xfId="1" applyFont="1" applyAlignment="1">
      <alignment horizontal="center"/>
    </xf>
    <xf numFmtId="165" fontId="0" fillId="0" borderId="0" xfId="1" applyFont="1"/>
    <xf numFmtId="165" fontId="2" fillId="0" borderId="1" xfId="1" applyFont="1" applyBorder="1" applyAlignment="1">
      <alignment horizontal="center"/>
    </xf>
    <xf numFmtId="0" fontId="0" fillId="0" borderId="0" xfId="0" applyAlignment="1">
      <alignment wrapText="1" shrinkToFit="1"/>
    </xf>
    <xf numFmtId="0" fontId="2" fillId="0" borderId="1" xfId="0" applyFont="1" applyBorder="1" applyAlignment="1">
      <alignment horizontal="center" wrapText="1" shrinkToFit="1"/>
    </xf>
    <xf numFmtId="0" fontId="4" fillId="7" borderId="1" xfId="0" applyFont="1" applyFill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vertical="top" wrapText="1" shrinkToFit="1"/>
    </xf>
    <xf numFmtId="0" fontId="11" fillId="6" borderId="1" xfId="0" applyFont="1" applyFill="1" applyBorder="1" applyAlignment="1">
      <alignment horizontal="left"/>
    </xf>
    <xf numFmtId="0" fontId="9" fillId="4" borderId="1" xfId="0" applyFont="1" applyFill="1" applyBorder="1"/>
    <xf numFmtId="0" fontId="9" fillId="4" borderId="1" xfId="0" applyFont="1" applyFill="1" applyBorder="1" applyAlignment="1">
      <alignment horizontal="left"/>
    </xf>
    <xf numFmtId="49" fontId="0" fillId="0" borderId="0" xfId="0" applyNumberFormat="1" applyAlignment="1">
      <alignment horizontal="center"/>
    </xf>
    <xf numFmtId="0" fontId="3" fillId="0" borderId="0" xfId="2" applyAlignment="1">
      <alignment horizontal="center"/>
    </xf>
    <xf numFmtId="0" fontId="0" fillId="0" borderId="0" xfId="0" applyAlignment="1"/>
    <xf numFmtId="49" fontId="0" fillId="0" borderId="0" xfId="0" applyNumberFormat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top" wrapText="1" shrinkToFit="1"/>
    </xf>
    <xf numFmtId="0" fontId="8" fillId="8" borderId="4" xfId="0" applyFont="1" applyFill="1" applyBorder="1" applyAlignment="1"/>
    <xf numFmtId="0" fontId="10" fillId="0" borderId="3" xfId="0" applyFont="1" applyBorder="1" applyAlignment="1"/>
    <xf numFmtId="0" fontId="8" fillId="0" borderId="0" xfId="0" applyFont="1" applyAlignment="1"/>
    <xf numFmtId="0" fontId="9" fillId="0" borderId="1" xfId="0" applyFont="1" applyBorder="1" applyAlignment="1"/>
    <xf numFmtId="0" fontId="0" fillId="0" borderId="0" xfId="0" applyBorder="1" applyAlignment="1">
      <alignment horizontal="center" wrapText="1"/>
    </xf>
    <xf numFmtId="0" fontId="0" fillId="0" borderId="1" xfId="0" applyBorder="1" applyAlignment="1">
      <alignment horizontal="center"/>
    </xf>
    <xf numFmtId="49" fontId="0" fillId="5" borderId="1" xfId="0" applyNumberFormat="1" applyFill="1" applyBorder="1"/>
    <xf numFmtId="0" fontId="0" fillId="0" borderId="0" xfId="0" applyBorder="1"/>
    <xf numFmtId="0" fontId="12" fillId="0" borderId="0" xfId="0" applyFont="1" applyAlignment="1"/>
    <xf numFmtId="14" fontId="9" fillId="0" borderId="0" xfId="0" applyNumberFormat="1" applyFont="1" applyAlignment="1"/>
    <xf numFmtId="0" fontId="13" fillId="0" borderId="0" xfId="0" applyFont="1" applyAlignment="1">
      <alignment horizontal="center"/>
    </xf>
    <xf numFmtId="0" fontId="14" fillId="3" borderId="2" xfId="0" applyFont="1" applyFill="1" applyBorder="1" applyAlignment="1"/>
    <xf numFmtId="0" fontId="11" fillId="6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4" borderId="1" xfId="0" applyFill="1" applyBorder="1" applyAlignment="1">
      <alignment horizontal="center"/>
    </xf>
    <xf numFmtId="0" fontId="0" fillId="0" borderId="0" xfId="0" applyNumberFormat="1"/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wrapText="1" shrinkToFit="1"/>
    </xf>
    <xf numFmtId="165" fontId="2" fillId="0" borderId="0" xfId="1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167" fontId="0" fillId="4" borderId="1" xfId="1" applyNumberFormat="1" applyFont="1" applyFill="1" applyBorder="1" applyAlignment="1">
      <alignment horizontal="center"/>
    </xf>
    <xf numFmtId="167" fontId="0" fillId="0" borderId="0" xfId="1" applyNumberFormat="1" applyFont="1"/>
    <xf numFmtId="164" fontId="0" fillId="0" borderId="0" xfId="0" applyNumberFormat="1"/>
    <xf numFmtId="167" fontId="0" fillId="0" borderId="0" xfId="0" applyNumberFormat="1"/>
    <xf numFmtId="167" fontId="0" fillId="4" borderId="1" xfId="0" applyNumberFormat="1" applyFill="1" applyBorder="1" applyAlignment="1">
      <alignment horizontal="center"/>
    </xf>
    <xf numFmtId="166" fontId="15" fillId="0" borderId="0" xfId="0" applyNumberFormat="1" applyFont="1" applyBorder="1" applyAlignment="1">
      <alignment horizontal="right"/>
    </xf>
    <xf numFmtId="166" fontId="16" fillId="0" borderId="0" xfId="0" applyNumberFormat="1" applyFont="1" applyBorder="1" applyAlignment="1">
      <alignment horizontal="right"/>
    </xf>
    <xf numFmtId="166" fontId="17" fillId="0" borderId="0" xfId="0" applyNumberFormat="1" applyFont="1" applyBorder="1" applyAlignment="1">
      <alignment horizontal="right"/>
    </xf>
    <xf numFmtId="0" fontId="7" fillId="8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vertical="top" wrapText="1"/>
    </xf>
    <xf numFmtId="0" fontId="8" fillId="0" borderId="6" xfId="0" applyFont="1" applyBorder="1" applyAlignment="1">
      <alignment vertical="top" wrapText="1" shrinkToFit="1"/>
    </xf>
    <xf numFmtId="0" fontId="8" fillId="0" borderId="5" xfId="0" applyFont="1" applyBorder="1" applyAlignment="1">
      <alignment vertical="top" wrapText="1" shrinkToFit="1"/>
    </xf>
    <xf numFmtId="0" fontId="8" fillId="0" borderId="0" xfId="0" applyFont="1" applyAlignment="1">
      <alignment vertical="top" wrapText="1" shrinkToFit="1"/>
    </xf>
    <xf numFmtId="0" fontId="8" fillId="0" borderId="7" xfId="0" applyFont="1" applyBorder="1" applyAlignment="1">
      <alignment vertical="top" wrapText="1" shrinkToFit="1"/>
    </xf>
    <xf numFmtId="0" fontId="8" fillId="5" borderId="8" xfId="0" applyFont="1" applyFill="1" applyBorder="1" applyAlignment="1">
      <alignment horizontal="center" vertical="center" wrapText="1" shrinkToFit="1"/>
    </xf>
    <xf numFmtId="0" fontId="8" fillId="5" borderId="14" xfId="0" applyFont="1" applyFill="1" applyBorder="1" applyAlignment="1">
      <alignment horizontal="center" vertical="center" wrapText="1" shrinkToFit="1"/>
    </xf>
    <xf numFmtId="0" fontId="8" fillId="5" borderId="9" xfId="0" applyFont="1" applyFill="1" applyBorder="1" applyAlignment="1">
      <alignment horizontal="center" vertical="center" wrapText="1" shrinkToFit="1"/>
    </xf>
    <xf numFmtId="0" fontId="8" fillId="5" borderId="10" xfId="0" applyFont="1" applyFill="1" applyBorder="1" applyAlignment="1">
      <alignment horizontal="center" vertical="center" wrapText="1" shrinkToFit="1"/>
    </xf>
    <xf numFmtId="0" fontId="8" fillId="5" borderId="0" xfId="0" applyFont="1" applyFill="1" applyBorder="1" applyAlignment="1">
      <alignment horizontal="center" vertical="center" wrapText="1" shrinkToFit="1"/>
    </xf>
    <xf numFmtId="0" fontId="8" fillId="5" borderId="11" xfId="0" applyFont="1" applyFill="1" applyBorder="1" applyAlignment="1">
      <alignment horizontal="center" vertical="center" wrapText="1" shrinkToFit="1"/>
    </xf>
    <xf numFmtId="0" fontId="8" fillId="5" borderId="12" xfId="0" applyFont="1" applyFill="1" applyBorder="1" applyAlignment="1">
      <alignment horizontal="center" vertical="center" wrapText="1" shrinkToFit="1"/>
    </xf>
    <xf numFmtId="0" fontId="8" fillId="5" borderId="3" xfId="0" applyFont="1" applyFill="1" applyBorder="1" applyAlignment="1">
      <alignment horizontal="center" vertical="center" wrapText="1" shrinkToFit="1"/>
    </xf>
    <xf numFmtId="0" fontId="8" fillId="5" borderId="13" xfId="0" applyFont="1" applyFill="1" applyBorder="1" applyAlignment="1">
      <alignment horizontal="center" vertical="center" wrapText="1" shrinkToFit="1"/>
    </xf>
  </cellXfs>
  <cellStyles count="3">
    <cellStyle name="Lien hypertexte" xfId="2" builtinId="8"/>
    <cellStyle name="Monétaire" xfId="1" builtinId="4"/>
    <cellStyle name="Normal" xfId="0" builtinId="0"/>
  </cellStyles>
  <dxfs count="7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/>
        </patternFill>
      </fill>
    </dxf>
    <dxf>
      <numFmt numFmtId="0" formatCode="General"/>
    </dxf>
    <dxf>
      <fill>
        <patternFill>
          <bgColor theme="5"/>
        </patternFill>
      </fill>
    </dxf>
    <dxf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#,##0.00\ &quot;€&quot;"/>
    </dxf>
    <dxf>
      <numFmt numFmtId="0" formatCode="General"/>
    </dxf>
    <dxf>
      <numFmt numFmtId="167" formatCode="#,##0.00\ &quot;€&quot;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/>
        </patternFill>
      </fill>
      <alignment horizontal="center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Insuffisant&quot;"/>
      <alignment horizontal="right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Insuffisant&quot;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1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448124</xdr:colOff>
      <xdr:row>7</xdr:row>
      <xdr:rowOff>19050</xdr:rowOff>
    </xdr:from>
    <xdr:to>
      <xdr:col>16</xdr:col>
      <xdr:colOff>257175</xdr:colOff>
      <xdr:row>28</xdr:row>
      <xdr:rowOff>57150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pSpPr/>
      </xdr:nvGrpSpPr>
      <xdr:grpSpPr>
        <a:xfrm>
          <a:off x="1210124" y="1647825"/>
          <a:ext cx="11239051" cy="4038600"/>
          <a:chOff x="952949" y="1628775"/>
          <a:chExt cx="11239051" cy="4038600"/>
        </a:xfrm>
      </xdr:grpSpPr>
      <xdr:grpSp>
        <xdr:nvGrpSpPr>
          <xdr:cNvPr id="2" name="Group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981077" y="1638750"/>
            <a:ext cx="3628575" cy="1924950"/>
            <a:chOff x="6077399" y="608700"/>
            <a:chExt cx="3628575" cy="1924950"/>
          </a:xfrm>
        </xdr:grpSpPr>
        <xdr:sp macro="" textlink="">
          <xdr:nvSpPr>
            <xdr:cNvPr id="3" name="Rectangl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6077400" y="608700"/>
              <a:ext cx="3619050" cy="1924950"/>
            </a:xfrm>
            <a:prstGeom prst="rect">
              <a:avLst/>
            </a:prstGeom>
            <a:solidFill>
              <a:srgbClr val="7030A0"/>
            </a:solidFill>
            <a:ln>
              <a:solidFill>
                <a:srgbClr val="7030A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4" name="Group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6077399" y="925709"/>
              <a:ext cx="3628575" cy="1605991"/>
              <a:chOff x="6077399" y="925709"/>
              <a:chExt cx="3628575" cy="1605991"/>
            </a:xfrm>
          </xdr:grpSpPr>
          <xdr:sp macro="" textlink="">
            <xdr:nvSpPr>
              <xdr:cNvPr id="5" name="Rectangl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SpPr/>
            </xdr:nvSpPr>
            <xdr:spPr>
              <a:xfrm>
                <a:off x="6077399" y="2171700"/>
                <a:ext cx="3628575" cy="360000"/>
              </a:xfrm>
              <a:prstGeom prst="rect">
                <a:avLst/>
              </a:prstGeom>
              <a:solidFill>
                <a:schemeClr val="bg2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4">
                  <a:shade val="50000"/>
                </a:schemeClr>
              </a:lnRef>
              <a:fillRef idx="1">
                <a:schemeClr val="accent4"/>
              </a:fillRef>
              <a:effectRef idx="0">
                <a:schemeClr val="accent4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>
                  <a:ln>
                    <a:noFill/>
                  </a:ln>
                </a:endParaRPr>
              </a:p>
            </xdr:txBody>
          </xdr:sp>
          <xdr:sp macro="" textlink="">
            <xdr:nvSpPr>
              <xdr:cNvPr id="6" name="ZoneTexte 5">
                <a:extLst>
                  <a:ext uri="{FF2B5EF4-FFF2-40B4-BE49-F238E27FC236}">
                    <a16:creationId xmlns:a16="http://schemas.microsoft.com/office/drawing/2014/main" id="{00000000-0008-0000-0000-000006000000}"/>
                  </a:ext>
                </a:extLst>
              </xdr:cNvPr>
              <xdr:cNvSpPr txBox="1"/>
            </xdr:nvSpPr>
            <xdr:spPr>
              <a:xfrm>
                <a:off x="6238875" y="2181225"/>
                <a:ext cx="2638425" cy="342900"/>
              </a:xfrm>
              <a:prstGeom prst="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4">
                  <a:shade val="50000"/>
                </a:schemeClr>
              </a:lnRef>
              <a:fillRef idx="1">
                <a:schemeClr val="accent4"/>
              </a:fillRef>
              <a:effectRef idx="0">
                <a:schemeClr val="accent4"/>
              </a:effectRef>
              <a:fontRef idx="minor">
                <a:schemeClr val="lt1"/>
              </a:fontRef>
            </xdr:style>
            <xdr:txBody>
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r>
                  <a:rPr lang="fr-FR" sz="1800" b="1">
                    <a:solidFill>
                      <a:srgbClr val="FF0000"/>
                    </a:solidFill>
                    <a:effectLst/>
                    <a:latin typeface="+mn-lt"/>
                    <a:ea typeface="+mn-ea"/>
                    <a:cs typeface="+mn-cs"/>
                  </a:rPr>
                  <a:t>Nombre</a:t>
                </a:r>
                <a:r>
                  <a:rPr lang="fr-FR" sz="1800" b="1" baseline="0">
                    <a:solidFill>
                      <a:srgbClr val="FF0000"/>
                    </a:solidFill>
                    <a:effectLst/>
                    <a:latin typeface="+mn-lt"/>
                    <a:ea typeface="+mn-ea"/>
                    <a:cs typeface="+mn-cs"/>
                  </a:rPr>
                  <a:t> d'Articeles</a:t>
                </a:r>
                <a:endParaRPr lang="fr-FR" sz="3200">
                  <a:solidFill>
                    <a:srgbClr val="FF0000"/>
                  </a:solidFill>
                  <a:effectLst/>
                </a:endParaRPr>
              </a:p>
            </xdr:txBody>
          </xdr:sp>
          <xdr:sp macro="" textlink="Config!D50">
            <xdr:nvSpPr>
              <xdr:cNvPr id="7" name="ZoneTexte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 txBox="1"/>
            </xdr:nvSpPr>
            <xdr:spPr>
              <a:xfrm>
                <a:off x="6210300" y="1162050"/>
                <a:ext cx="1704975" cy="552450"/>
              </a:xfrm>
              <a:prstGeom prst="rect">
                <a:avLst/>
              </a:prstGeom>
              <a:solidFill>
                <a:srgbClr val="7030A0"/>
              </a:solidFill>
              <a:ln w="9525" cmpd="sng">
                <a:solidFill>
                  <a:srgbClr val="7030A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71D62A18-5988-4F74-AA6C-E6B03789FA1C}" type="TxLink">
                  <a:rPr lang="en-US" sz="2800" b="0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6</a:t>
                </a:fld>
                <a:endParaRPr lang="fr-FR" sz="6000">
                  <a:solidFill>
                    <a:schemeClr val="bg1"/>
                  </a:solidFill>
                </a:endParaRPr>
              </a:p>
            </xdr:txBody>
          </xdr:sp>
          <xdr:pic>
            <xdr:nvPicPr>
              <xdr:cNvPr id="8" name="Image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010525" y="925709"/>
                <a:ext cx="1470027" cy="826891"/>
              </a:xfrm>
              <a:prstGeom prst="rect">
                <a:avLst/>
              </a:prstGeom>
              <a:ln w="190500" cap="sq">
                <a:solidFill>
                  <a:srgbClr val="C8C6BD"/>
                </a:solidFill>
                <a:prstDash val="solid"/>
                <a:miter lim="800000"/>
              </a:ln>
              <a:effectLst>
                <a:outerShdw blurRad="254000" algn="bl" rotWithShape="0">
                  <a:srgbClr val="000000">
                    <a:alpha val="43000"/>
                  </a:srgbClr>
                </a:outerShdw>
              </a:effectLst>
              <a:scene3d>
                <a:camera prst="perspectiveFront" fov="5400000"/>
                <a:lightRig rig="threePt" dir="t">
                  <a:rot lat="0" lon="0" rev="2100000"/>
                </a:lightRig>
              </a:scene3d>
              <a:sp3d extrusionH="25400">
                <a:bevelT w="304800" h="152400" prst="hardEdge"/>
                <a:extrusionClr>
                  <a:srgbClr val="000000"/>
                </a:extrusionClr>
              </a:sp3d>
            </xdr:spPr>
          </xdr:pic>
        </xdr:grpSp>
      </xdr:grpSp>
      <xdr:grpSp>
        <xdr:nvGrpSpPr>
          <xdr:cNvPr id="9" name="Group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4753434" y="1628775"/>
            <a:ext cx="3600003" cy="1933575"/>
            <a:chOff x="5037010" y="69113"/>
            <a:chExt cx="3619050" cy="1933575"/>
          </a:xfrm>
        </xdr:grpSpPr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5037010" y="69113"/>
              <a:ext cx="3619050" cy="1924950"/>
            </a:xfrm>
            <a:prstGeom prst="rect">
              <a:avLst/>
            </a:prstGeom>
            <a:ln/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5046132" y="1642688"/>
              <a:ext cx="3600452" cy="360000"/>
            </a:xfrm>
            <a:prstGeom prst="rect">
              <a:avLst/>
            </a:prstGeom>
            <a:solidFill>
              <a:schemeClr val="bg2"/>
            </a:solidFill>
            <a:ln>
              <a:noFill/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r>
                <a:rPr lang="fr-FR" sz="1800" b="1">
                  <a:ln>
                    <a:noFill/>
                  </a:ln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  Article en Commande</a:t>
              </a:r>
            </a:p>
          </xdr:txBody>
        </xdr:sp>
        <xdr:sp macro="" textlink="Config!D48">
          <xdr:nvSpPr>
            <xdr:cNvPr id="12" name="ZoneTexte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5400874" y="650138"/>
              <a:ext cx="1790251" cy="552450"/>
            </a:xfrm>
            <a:prstGeom prst="rect">
              <a:avLst/>
            </a:prstGeom>
            <a:ln>
              <a:noFill/>
            </a:ln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B7C9BCA9-34AE-4ED9-9DD0-F2CB4842AF34}" type="TxLink">
                <a:rPr lang="en-US" sz="2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4</a:t>
              </a:fld>
              <a:endParaRPr lang="fr-FR" sz="5400" b="0">
                <a:solidFill>
                  <a:schemeClr val="bg1"/>
                </a:solidFill>
              </a:endParaRPr>
            </a:p>
          </xdr:txBody>
        </xdr:sp>
        <xdr:pic>
          <xdr:nvPicPr>
            <xdr:cNvPr id="13" name="Imag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942513" y="450113"/>
              <a:ext cx="1476572" cy="830573"/>
            </a:xfrm>
            <a:prstGeom prst="rect">
              <a:avLst/>
            </a:prstGeom>
            <a:ln w="190500" cap="sq">
              <a:solidFill>
                <a:srgbClr val="C8C6BD"/>
              </a:solidFill>
              <a:prstDash val="solid"/>
              <a:miter lim="800000"/>
            </a:ln>
            <a:effectLst>
              <a:outerShdw blurRad="254000" algn="bl" rotWithShape="0">
                <a:srgbClr val="000000">
                  <a:alpha val="43000"/>
                </a:srgbClr>
              </a:outerShdw>
            </a:effectLst>
            <a:scene3d>
              <a:camera prst="perspectiveFront" fov="5400000"/>
              <a:lightRig rig="threePt" dir="t">
                <a:rot lat="0" lon="0" rev="2100000"/>
              </a:lightRig>
            </a:scene3d>
            <a:sp3d extrusionH="25400">
              <a:bevelT w="304800" h="152400" prst="hardEdge"/>
              <a:extrusionClr>
                <a:srgbClr val="000000"/>
              </a:extrusionClr>
            </a:sp3d>
          </xdr:spPr>
        </xdr:pic>
      </xdr:grpSp>
      <xdr:grpSp>
        <xdr:nvGrpSpPr>
          <xdr:cNvPr id="14" name="Group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8563425" y="1628775"/>
            <a:ext cx="3628575" cy="1924950"/>
            <a:chOff x="5401573" y="598725"/>
            <a:chExt cx="3628575" cy="1924950"/>
          </a:xfrm>
        </xdr:grpSpPr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5401573" y="598725"/>
              <a:ext cx="3619050" cy="1924950"/>
            </a:xfrm>
            <a:prstGeom prst="rect">
              <a:avLst/>
            </a:prstGeom>
            <a:ln/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6" name="Group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GrpSpPr/>
          </xdr:nvGrpSpPr>
          <xdr:grpSpPr>
            <a:xfrm>
              <a:off x="5401573" y="989250"/>
              <a:ext cx="3628575" cy="1514475"/>
              <a:chOff x="5401573" y="989250"/>
              <a:chExt cx="3628575" cy="1514475"/>
            </a:xfrm>
          </xdr:grpSpPr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00000000-0008-0000-0000-000011000000}"/>
                  </a:ext>
                </a:extLst>
              </xdr:cNvPr>
              <xdr:cNvSpPr/>
            </xdr:nvSpPr>
            <xdr:spPr>
              <a:xfrm>
                <a:off x="5401573" y="2143725"/>
                <a:ext cx="3628575" cy="360000"/>
              </a:xfrm>
              <a:prstGeom prst="rect">
                <a:avLst/>
              </a:prstGeom>
              <a:ln/>
            </xdr:spPr>
            <xdr:style>
              <a:lnRef idx="1">
                <a:schemeClr val="accent3"/>
              </a:lnRef>
              <a:fillRef idx="2">
                <a:schemeClr val="accent3"/>
              </a:fillRef>
              <a:effectRef idx="1">
                <a:schemeClr val="accent3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>
                  <a:ln>
                    <a:noFill/>
                  </a:ln>
                </a:endParaRPr>
              </a:p>
            </xdr:txBody>
          </xdr:sp>
          <xdr:sp macro="" textlink="">
            <xdr:nvSpPr>
              <xdr:cNvPr id="18" name="ZoneTexte 17">
                <a:extLst>
                  <a:ext uri="{FF2B5EF4-FFF2-40B4-BE49-F238E27FC236}">
                    <a16:creationId xmlns:a16="http://schemas.microsoft.com/office/drawing/2014/main" id="{00000000-0008-0000-0000-000012000000}"/>
                  </a:ext>
                </a:extLst>
              </xdr:cNvPr>
              <xdr:cNvSpPr txBox="1"/>
            </xdr:nvSpPr>
            <xdr:spPr>
              <a:xfrm>
                <a:off x="5563049" y="2153250"/>
                <a:ext cx="2638425" cy="342900"/>
              </a:xfrm>
              <a:prstGeom prst="rect">
                <a:avLst/>
              </a:prstGeom>
              <a:ln>
                <a:noFill/>
              </a:ln>
            </xdr:spPr>
            <xdr:style>
              <a:lnRef idx="1">
                <a:schemeClr val="accent3"/>
              </a:lnRef>
              <a:fillRef idx="2">
                <a:schemeClr val="accent3"/>
              </a:fillRef>
              <a:effectRef idx="1">
                <a:schemeClr val="accent3"/>
              </a:effectRef>
              <a:fontRef idx="minor">
                <a:schemeClr val="dk1"/>
              </a:fontRef>
            </xdr:style>
            <xdr:txBody>
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l"/>
                <a:r>
                  <a:rPr lang="fr-FR" sz="1800" b="1">
                    <a:ln>
                      <a:noFill/>
                    </a:ln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rPr>
                  <a:t>Article critique</a:t>
                </a:r>
              </a:p>
            </xdr:txBody>
          </xdr:sp>
          <xdr:sp macro="" textlink="Config!$D$49">
            <xdr:nvSpPr>
              <xdr:cNvPr id="19" name="ZoneTexte 18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 txBox="1"/>
            </xdr:nvSpPr>
            <xdr:spPr>
              <a:xfrm>
                <a:off x="5401573" y="1170225"/>
                <a:ext cx="1704975" cy="552450"/>
              </a:xfrm>
              <a:prstGeom prst="rect">
                <a:avLst/>
              </a:prstGeom>
              <a:ln>
                <a:noFill/>
              </a:ln>
            </xdr:spPr>
            <xdr:style>
              <a:lnRef idx="2">
                <a:schemeClr val="accent6">
                  <a:shade val="50000"/>
                </a:schemeClr>
              </a:lnRef>
              <a:fillRef idx="1">
                <a:schemeClr val="accent6"/>
              </a:fillRef>
              <a:effectRef idx="0">
                <a:schemeClr val="accent6"/>
              </a:effectRef>
              <a:fontRef idx="minor">
                <a:schemeClr val="lt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86FF4646-C882-4CC7-898E-1E6B2AB68157}" type="TxLink">
                  <a:rPr lang="en-US" sz="2800" b="0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3</a:t>
                </a:fld>
                <a:endParaRPr lang="fr-FR" sz="5400">
                  <a:solidFill>
                    <a:schemeClr val="bg1"/>
                  </a:solidFill>
                </a:endParaRPr>
              </a:p>
            </xdr:txBody>
          </xdr:sp>
          <xdr:pic>
            <xdr:nvPicPr>
              <xdr:cNvPr id="20" name="Image 19">
                <a:extLst>
                  <a:ext uri="{FF2B5EF4-FFF2-40B4-BE49-F238E27FC236}">
                    <a16:creationId xmlns:a16="http://schemas.microsoft.com/office/drawing/2014/main" id="{00000000-0008-0000-0000-00001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351021" y="989250"/>
                <a:ext cx="1470027" cy="826891"/>
              </a:xfrm>
              <a:prstGeom prst="rect">
                <a:avLst/>
              </a:prstGeom>
              <a:ln w="190500" cap="sq">
                <a:solidFill>
                  <a:srgbClr val="C8C6BD"/>
                </a:solidFill>
                <a:prstDash val="solid"/>
                <a:miter lim="800000"/>
              </a:ln>
              <a:effectLst>
                <a:outerShdw blurRad="254000" algn="bl" rotWithShape="0">
                  <a:srgbClr val="000000">
                    <a:alpha val="43000"/>
                  </a:srgbClr>
                </a:outerShdw>
              </a:effectLst>
              <a:scene3d>
                <a:camera prst="perspectiveFront" fov="5400000"/>
                <a:lightRig rig="threePt" dir="t">
                  <a:rot lat="0" lon="0" rev="2100000"/>
                </a:lightRig>
              </a:scene3d>
              <a:sp3d extrusionH="25400">
                <a:bevelT w="304800" h="152400" prst="hardEdge"/>
                <a:extrusionClr>
                  <a:srgbClr val="000000"/>
                </a:extrusionClr>
              </a:sp3d>
            </xdr:spPr>
            <xdr:style>
              <a:lnRef idx="2">
                <a:schemeClr val="accent6">
                  <a:shade val="50000"/>
                </a:schemeClr>
              </a:lnRef>
              <a:fillRef idx="1">
                <a:schemeClr val="accent6"/>
              </a:fillRef>
              <a:effectRef idx="0">
                <a:schemeClr val="accent6"/>
              </a:effectRef>
              <a:fontRef idx="minor">
                <a:schemeClr val="lt1"/>
              </a:fontRef>
            </xdr:style>
          </xdr:pic>
        </xdr:grpSp>
      </xdr:grpSp>
      <xdr:grpSp>
        <xdr:nvGrpSpPr>
          <xdr:cNvPr id="21" name="Group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952949" y="3704325"/>
            <a:ext cx="3619051" cy="1924950"/>
            <a:chOff x="6077399" y="608700"/>
            <a:chExt cx="3619051" cy="192495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6077400" y="608700"/>
              <a:ext cx="3619050" cy="1924950"/>
            </a:xfrm>
            <a:prstGeom prst="rect">
              <a:avLst/>
            </a:prstGeom>
            <a:ln/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23" name="Groupe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GrpSpPr/>
          </xdr:nvGrpSpPr>
          <xdr:grpSpPr>
            <a:xfrm>
              <a:off x="6077399" y="925709"/>
              <a:ext cx="3609975" cy="1605991"/>
              <a:chOff x="6077399" y="925709"/>
              <a:chExt cx="3609975" cy="1605991"/>
            </a:xfrm>
          </xdr:grpSpPr>
          <xdr:sp macro="" textlink="">
            <xdr:nvSpPr>
              <xdr:cNvPr id="24" name="Rectangle 23">
                <a:extLst>
                  <a:ext uri="{FF2B5EF4-FFF2-40B4-BE49-F238E27FC236}">
                    <a16:creationId xmlns:a16="http://schemas.microsoft.com/office/drawing/2014/main" id="{00000000-0008-0000-0000-000018000000}"/>
                  </a:ext>
                </a:extLst>
              </xdr:cNvPr>
              <xdr:cNvSpPr/>
            </xdr:nvSpPr>
            <xdr:spPr>
              <a:xfrm>
                <a:off x="6077399" y="2171700"/>
                <a:ext cx="3609975" cy="360000"/>
              </a:xfrm>
              <a:prstGeom prst="rect">
                <a:avLst/>
              </a:prstGeom>
              <a:ln/>
            </xdr:spPr>
            <xdr:style>
              <a:lnRef idx="1">
                <a:schemeClr val="accent3"/>
              </a:lnRef>
              <a:fillRef idx="2">
                <a:schemeClr val="accent3"/>
              </a:fillRef>
              <a:effectRef idx="1">
                <a:schemeClr val="accent3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>
                  <a:ln>
                    <a:noFill/>
                  </a:ln>
                </a:endParaRPr>
              </a:p>
            </xdr:txBody>
          </xdr:sp>
          <xdr:sp macro="" textlink="">
            <xdr:nvSpPr>
              <xdr:cNvPr id="25" name="ZoneTexte 24">
                <a:extLst>
                  <a:ext uri="{FF2B5EF4-FFF2-40B4-BE49-F238E27FC236}">
                    <a16:creationId xmlns:a16="http://schemas.microsoft.com/office/drawing/2014/main" id="{00000000-0008-0000-0000-000019000000}"/>
                  </a:ext>
                </a:extLst>
              </xdr:cNvPr>
              <xdr:cNvSpPr txBox="1"/>
            </xdr:nvSpPr>
            <xdr:spPr>
              <a:xfrm>
                <a:off x="6238875" y="2181225"/>
                <a:ext cx="2638425" cy="342900"/>
              </a:xfrm>
              <a:prstGeom prst="rect">
                <a:avLst/>
              </a:prstGeom>
              <a:ln>
                <a:noFill/>
              </a:ln>
            </xdr:spPr>
            <xdr:style>
              <a:lnRef idx="1">
                <a:schemeClr val="accent3"/>
              </a:lnRef>
              <a:fillRef idx="2">
                <a:schemeClr val="accent3"/>
              </a:fillRef>
              <a:effectRef idx="1">
                <a:schemeClr val="accent3"/>
              </a:effectRef>
              <a:fontRef idx="minor">
                <a:schemeClr val="dk1"/>
              </a:fontRef>
            </xdr:style>
            <xdr:txBody>
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l"/>
                <a:r>
                  <a:rPr lang="fr-FR" sz="1800" b="1">
                    <a:ln>
                      <a:noFill/>
                    </a:ln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rPr>
                  <a:t>Valeur du Stock</a:t>
                </a:r>
              </a:p>
            </xdr:txBody>
          </xdr:sp>
          <xdr:sp macro="" textlink="Config!D47">
            <xdr:nvSpPr>
              <xdr:cNvPr id="26" name="ZoneTexte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SpPr txBox="1"/>
            </xdr:nvSpPr>
            <xdr:spPr>
              <a:xfrm>
                <a:off x="6115050" y="1162050"/>
                <a:ext cx="1866900" cy="552450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1"/>
              </a:fillRef>
              <a:effectRef idx="1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8433001E-CA03-4085-A25F-3476DE82A44B}" type="TxLink">
                  <a:rPr lang="en-US" sz="20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5 464,90 €</a:t>
                </a:fld>
                <a:endParaRPr lang="en-US" sz="2000" b="1">
                  <a:solidFill>
                    <a:schemeClr val="bg1"/>
                  </a:solidFill>
                </a:endParaRPr>
              </a:p>
            </xdr:txBody>
          </xdr:sp>
          <xdr:pic>
            <xdr:nvPicPr>
              <xdr:cNvPr id="27" name="Image 26">
                <a:extLst>
                  <a:ext uri="{FF2B5EF4-FFF2-40B4-BE49-F238E27FC236}">
                    <a16:creationId xmlns:a16="http://schemas.microsoft.com/office/drawing/2014/main" id="{00000000-0008-0000-0000-00001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010525" y="925709"/>
                <a:ext cx="1470027" cy="826891"/>
              </a:xfrm>
              <a:prstGeom prst="rect">
                <a:avLst/>
              </a:prstGeom>
              <a:ln w="190500" cap="sq">
                <a:solidFill>
                  <a:srgbClr val="C8C6BD"/>
                </a:solidFill>
                <a:prstDash val="solid"/>
                <a:miter lim="800000"/>
              </a:ln>
              <a:effectLst>
                <a:outerShdw blurRad="254000" algn="bl" rotWithShape="0">
                  <a:srgbClr val="000000">
                    <a:alpha val="43000"/>
                  </a:srgbClr>
                </a:outerShdw>
              </a:effectLst>
              <a:scene3d>
                <a:camera prst="perspectiveFront" fov="5400000"/>
                <a:lightRig rig="threePt" dir="t">
                  <a:rot lat="0" lon="0" rev="2100000"/>
                </a:lightRig>
              </a:scene3d>
              <a:sp3d extrusionH="25400">
                <a:bevelT w="304800" h="152400" prst="hardEdge"/>
                <a:extrusionClr>
                  <a:srgbClr val="000000"/>
                </a:extrusionClr>
              </a:sp3d>
            </xdr:spPr>
            <xdr:style>
              <a:lnRef idx="3">
                <a:schemeClr val="lt1"/>
              </a:lnRef>
              <a:fillRef idx="1">
                <a:schemeClr val="accent1"/>
              </a:fillRef>
              <a:effectRef idx="1">
                <a:schemeClr val="accent1"/>
              </a:effectRef>
              <a:fontRef idx="minor">
                <a:schemeClr val="lt1"/>
              </a:fontRef>
            </xdr:style>
          </xdr:pic>
        </xdr:grpSp>
      </xdr:grpSp>
      <xdr:grpSp>
        <xdr:nvGrpSpPr>
          <xdr:cNvPr id="28" name="Group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4753425" y="3724275"/>
            <a:ext cx="3628575" cy="1942050"/>
            <a:chOff x="5696848" y="583088"/>
            <a:chExt cx="3628575" cy="1942050"/>
          </a:xfrm>
        </xdr:grpSpPr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5696848" y="583088"/>
              <a:ext cx="3619050" cy="1924950"/>
            </a:xfrm>
            <a:prstGeom prst="rect">
              <a:avLst/>
            </a:prstGeom>
            <a:ln/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30" name="Groupe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5696848" y="964088"/>
              <a:ext cx="3628575" cy="1561050"/>
              <a:chOff x="5696848" y="964088"/>
              <a:chExt cx="3628575" cy="1561050"/>
            </a:xfrm>
          </xdr:grpSpPr>
          <xdr:sp macro="" textlink="">
            <xdr:nvSpPr>
              <xdr:cNvPr id="31" name="Rectangle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5696848" y="2165138"/>
                <a:ext cx="3628575" cy="360000"/>
              </a:xfrm>
              <a:prstGeom prst="rect">
                <a:avLst/>
              </a:prstGeom>
              <a:ln/>
            </xdr:spPr>
            <xdr:style>
              <a:lnRef idx="1">
                <a:schemeClr val="accent3"/>
              </a:lnRef>
              <a:fillRef idx="2">
                <a:schemeClr val="accent3"/>
              </a:fillRef>
              <a:effectRef idx="1">
                <a:schemeClr val="accent3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>
                  <a:ln>
                    <a:noFill/>
                  </a:ln>
                </a:endParaRPr>
              </a:p>
            </xdr:txBody>
          </xdr:sp>
          <xdr:sp macro="" textlink="">
            <xdr:nvSpPr>
              <xdr:cNvPr id="32" name="ZoneTexte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 txBox="1"/>
            </xdr:nvSpPr>
            <xdr:spPr>
              <a:xfrm>
                <a:off x="5762625" y="2171700"/>
                <a:ext cx="2638425" cy="342900"/>
              </a:xfrm>
              <a:prstGeom prst="rect">
                <a:avLst/>
              </a:prstGeom>
              <a:ln>
                <a:noFill/>
              </a:ln>
            </xdr:spPr>
            <xdr:style>
              <a:lnRef idx="1">
                <a:schemeClr val="accent3"/>
              </a:lnRef>
              <a:fillRef idx="2">
                <a:schemeClr val="accent3"/>
              </a:fillRef>
              <a:effectRef idx="1">
                <a:schemeClr val="accent3"/>
              </a:effectRef>
              <a:fontRef idx="minor">
                <a:schemeClr val="dk1"/>
              </a:fontRef>
            </xdr:style>
            <xdr:txBody>
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l"/>
                <a:r>
                  <a:rPr lang="fr-FR" sz="1800" b="1">
                    <a:ln>
                      <a:noFill/>
                    </a:ln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rPr>
                  <a:t> Total Vendue</a:t>
                </a:r>
              </a:p>
            </xdr:txBody>
          </xdr:sp>
          <xdr:sp macro="" textlink="Config!D51">
            <xdr:nvSpPr>
              <xdr:cNvPr id="33" name="ZoneTexte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 txBox="1"/>
            </xdr:nvSpPr>
            <xdr:spPr>
              <a:xfrm>
                <a:off x="5696848" y="1174538"/>
                <a:ext cx="1866450" cy="552450"/>
              </a:xfrm>
              <a:prstGeom prst="rect">
                <a:avLst/>
              </a:prstGeom>
              <a:ln/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76F6BACE-1F59-4D17-A44F-E700682177E5}" type="TxLink">
                  <a:rPr lang="en-US" sz="20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1 337,10 €</a:t>
                </a:fld>
                <a:endParaRPr lang="fr-FR" sz="8800" b="1">
                  <a:solidFill>
                    <a:schemeClr val="bg1"/>
                  </a:solidFill>
                </a:endParaRPr>
              </a:p>
            </xdr:txBody>
          </xdr:sp>
          <xdr:pic>
            <xdr:nvPicPr>
              <xdr:cNvPr id="34" name="Image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629516" y="964088"/>
                <a:ext cx="1486357" cy="806467"/>
              </a:xfrm>
              <a:prstGeom prst="rect">
                <a:avLst/>
              </a:prstGeom>
              <a:ln w="190500" cap="sq">
                <a:solidFill>
                  <a:srgbClr val="C8C6BD"/>
                </a:solidFill>
                <a:prstDash val="solid"/>
                <a:miter lim="800000"/>
              </a:ln>
              <a:effectLst>
                <a:outerShdw blurRad="254000" algn="bl" rotWithShape="0">
                  <a:srgbClr val="000000">
                    <a:alpha val="43000"/>
                  </a:srgbClr>
                </a:outerShdw>
              </a:effectLst>
              <a:scene3d>
                <a:camera prst="perspectiveFront" fov="5400000"/>
                <a:lightRig rig="threePt" dir="t">
                  <a:rot lat="0" lon="0" rev="2100000"/>
                </a:lightRig>
              </a:scene3d>
              <a:sp3d extrusionH="25400">
                <a:bevelT w="304800" h="152400" prst="hardEdge"/>
                <a:extrusionClr>
                  <a:srgbClr val="000000"/>
                </a:extrusionClr>
              </a:sp3d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</xdr:pic>
        </xdr:grpSp>
      </xdr:grpSp>
      <xdr:grpSp>
        <xdr:nvGrpSpPr>
          <xdr:cNvPr id="35" name="Group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GrpSpPr/>
        </xdr:nvGrpSpPr>
        <xdr:grpSpPr>
          <a:xfrm>
            <a:off x="8553900" y="3732900"/>
            <a:ext cx="3628575" cy="1934475"/>
            <a:chOff x="5392048" y="630713"/>
            <a:chExt cx="3628575" cy="1934475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5392048" y="630713"/>
              <a:ext cx="3619050" cy="1924950"/>
            </a:xfrm>
            <a:prstGeom prst="rect">
              <a:avLst/>
            </a:prstGeom>
            <a:ln/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37" name="Groupe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5392048" y="650663"/>
              <a:ext cx="3628575" cy="1914525"/>
              <a:chOff x="5392048" y="650663"/>
              <a:chExt cx="3628575" cy="1914525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5392048" y="2203238"/>
                <a:ext cx="3628575" cy="360000"/>
              </a:xfrm>
              <a:prstGeom prst="rect">
                <a:avLst/>
              </a:prstGeom>
              <a:solidFill>
                <a:schemeClr val="bg2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4">
                  <a:shade val="50000"/>
                </a:schemeClr>
              </a:lnRef>
              <a:fillRef idx="1">
                <a:schemeClr val="accent4"/>
              </a:fillRef>
              <a:effectRef idx="0">
                <a:schemeClr val="accent4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>
                  <a:ln>
                    <a:noFill/>
                  </a:ln>
                </a:endParaRPr>
              </a:p>
            </xdr:txBody>
          </xdr:sp>
          <xdr:sp macro="" textlink="">
            <xdr:nvSpPr>
              <xdr:cNvPr id="39" name="ZoneTexte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 txBox="1"/>
            </xdr:nvSpPr>
            <xdr:spPr>
              <a:xfrm>
                <a:off x="5563049" y="2222288"/>
                <a:ext cx="2638425" cy="342900"/>
              </a:xfrm>
              <a:prstGeom prst="rect">
                <a:avLst/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4">
                  <a:shade val="50000"/>
                </a:schemeClr>
              </a:lnRef>
              <a:fillRef idx="1">
                <a:schemeClr val="accent4"/>
              </a:fillRef>
              <a:effectRef idx="0">
                <a:schemeClr val="accent4"/>
              </a:effectRef>
              <a:fontRef idx="minor">
                <a:schemeClr val="lt1"/>
              </a:fontRef>
            </xdr:style>
            <xdr:txBody>
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l"/>
                <a:r>
                  <a:rPr lang="fr-FR" sz="1800" b="1">
                    <a:ln>
                      <a:noFill/>
                    </a:ln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rPr>
                  <a:t>Top</a:t>
                </a:r>
                <a:r>
                  <a:rPr lang="fr-FR" sz="1800" b="1" baseline="0">
                    <a:ln>
                      <a:noFill/>
                    </a:ln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rPr>
                  <a:t> 3 articles vendue</a:t>
                </a:r>
                <a:endParaRPr lang="fr-FR" sz="1800" b="1">
                  <a:ln>
                    <a:noFill/>
                  </a:ln>
                  <a:solidFill>
                    <a:srgbClr val="FF0000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Config!$D$52">
            <xdr:nvSpPr>
              <xdr:cNvPr id="40" name="ZoneTexte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SpPr txBox="1"/>
            </xdr:nvSpPr>
            <xdr:spPr>
              <a:xfrm>
                <a:off x="5515423" y="650663"/>
                <a:ext cx="1400175" cy="447675"/>
              </a:xfrm>
              <a:prstGeom prst="rect">
                <a:avLst/>
              </a:prstGeom>
              <a:ln>
                <a:noFill/>
              </a:ln>
            </xdr:spPr>
            <xdr:style>
              <a:lnRef idx="2">
                <a:schemeClr val="accent2">
                  <a:shade val="50000"/>
                </a:schemeClr>
              </a:lnRef>
              <a:fillRef idx="1">
                <a:schemeClr val="accent2"/>
              </a:fillRef>
              <a:effectRef idx="0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wrap="square" rtlCol="0" anchor="t"/>
              <a:lstStyle/>
              <a:p>
                <a:fld id="{A065E9F8-D9E8-44FE-8904-BD7B128D2CBA}" type="TxLink">
                  <a:rPr lang="en-US" sz="20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/>
                  <a:t>ART-0001</a:t>
                </a:fld>
                <a:endParaRPr lang="fr-FR" sz="4400" b="1">
                  <a:solidFill>
                    <a:schemeClr val="bg1"/>
                  </a:solidFill>
                </a:endParaRPr>
              </a:p>
            </xdr:txBody>
          </xdr:sp>
          <xdr:pic>
            <xdr:nvPicPr>
              <xdr:cNvPr id="41" name="Image 40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325174" y="1003088"/>
                <a:ext cx="1418437" cy="828000"/>
              </a:xfrm>
              <a:prstGeom prst="rect">
                <a:avLst/>
              </a:prstGeom>
              <a:ln w="190500" cap="sq">
                <a:solidFill>
                  <a:srgbClr val="C8C6BD"/>
                </a:solidFill>
                <a:prstDash val="solid"/>
                <a:miter lim="800000"/>
              </a:ln>
              <a:effectLst>
                <a:outerShdw blurRad="254000" algn="bl" rotWithShape="0">
                  <a:srgbClr val="000000">
                    <a:alpha val="43000"/>
                  </a:srgbClr>
                </a:outerShdw>
              </a:effectLst>
              <a:scene3d>
                <a:camera prst="perspectiveFront" fov="5400000"/>
                <a:lightRig rig="threePt" dir="t">
                  <a:rot lat="0" lon="0" rev="2100000"/>
                </a:lightRig>
              </a:scene3d>
              <a:sp3d extrusionH="25400">
                <a:bevelT w="304800" h="152400" prst="hardEdge"/>
                <a:extrusionClr>
                  <a:srgbClr val="000000"/>
                </a:extrusionClr>
              </a:sp3d>
            </xdr:spPr>
          </xdr:pic>
        </xdr:grpSp>
      </xdr:grpSp>
    </xdr:grpSp>
    <xdr:clientData/>
  </xdr:twoCellAnchor>
  <xdr:twoCellAnchor>
    <xdr:from>
      <xdr:col>11</xdr:col>
      <xdr:colOff>514799</xdr:colOff>
      <xdr:row>23</xdr:row>
      <xdr:rowOff>133350</xdr:rowOff>
    </xdr:from>
    <xdr:to>
      <xdr:col>13</xdr:col>
      <xdr:colOff>323850</xdr:colOff>
      <xdr:row>26</xdr:row>
      <xdr:rowOff>9525</xdr:rowOff>
    </xdr:to>
    <xdr:sp macro="" textlink="Config!F52">
      <xdr:nvSpPr>
        <xdr:cNvPr id="53" name="ZoneText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8896799" y="4810125"/>
          <a:ext cx="1333051" cy="44767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indent="0"/>
          <a:fld id="{AA628ABD-2B24-474B-8BE5-2F8AB78AD796}" type="TxLink">
            <a:rPr lang="en-US" sz="2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/>
            <a:t>ART-0002</a:t>
          </a:fld>
          <a:endParaRPr lang="fr-FR" sz="4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533849</xdr:colOff>
      <xdr:row>20</xdr:row>
      <xdr:rowOff>152400</xdr:rowOff>
    </xdr:from>
    <xdr:to>
      <xdr:col>13</xdr:col>
      <xdr:colOff>400050</xdr:colOff>
      <xdr:row>23</xdr:row>
      <xdr:rowOff>28575</xdr:rowOff>
    </xdr:to>
    <xdr:sp macro="" textlink="Config!E52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8915849" y="4257675"/>
          <a:ext cx="1390201" cy="44767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indent="0"/>
          <a:fld id="{89A7E083-DC91-4C6F-9A7A-27DF860CA553}" type="TxLink">
            <a:rPr lang="en-US" sz="2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/>
            <a:t> </a:t>
          </a:fld>
          <a:endParaRPr lang="fr-FR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</xdr:col>
      <xdr:colOff>47625</xdr:colOff>
      <xdr:row>0</xdr:row>
      <xdr:rowOff>57150</xdr:rowOff>
    </xdr:from>
    <xdr:to>
      <xdr:col>15</xdr:col>
      <xdr:colOff>227625</xdr:colOff>
      <xdr:row>1</xdr:row>
      <xdr:rowOff>47625</xdr:rowOff>
    </xdr:to>
    <xdr:grpSp>
      <xdr:nvGrpSpPr>
        <xdr:cNvPr id="66" name="Group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pSpPr/>
      </xdr:nvGrpSpPr>
      <xdr:grpSpPr>
        <a:xfrm>
          <a:off x="2333625" y="57150"/>
          <a:ext cx="9324000" cy="476250"/>
          <a:chOff x="973452" y="103500"/>
          <a:chExt cx="13700637" cy="476250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973452" y="111750"/>
            <a:ext cx="13700637" cy="46800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C$8">
        <xdr:nvSpPr>
          <xdr:cNvPr id="68" name="Page1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1056736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300C5F6-A41C-43BA-B22D-EFBDE81A086C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Accueil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article" textlink="Config!$C$9">
        <xdr:nvSpPr>
          <xdr:cNvPr id="69" name="Page2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2717951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B4C6EF3-EFD5-4A4F-BD29-8DCF647A6919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order" textlink="Config!$C$10">
        <xdr:nvSpPr>
          <xdr:cNvPr id="70" name="Page3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438598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CB22588-59A3-44DD-B10B-BC4DB8580E21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Commande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po" textlink="Config!$C$11">
        <xdr:nvSpPr>
          <xdr:cNvPr id="71" name="Page4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6042557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CA00B7-9A3E-4A69-8E7F-3A87B0174BE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Page Com.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booking" textlink="Config!$C$12">
        <xdr:nvSpPr>
          <xdr:cNvPr id="72" name="Page5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7696424" y="103500"/>
            <a:ext cx="1904336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B6B0E48-67ED-4FA5-8518-D466F3EA815F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Entré - Sortie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supplier" textlink="Config!$C$13">
        <xdr:nvSpPr>
          <xdr:cNvPr id="73" name="Page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9633884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6BDD641-1A4D-4F93-8CAD-3AEC6107B77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ustommer" textlink="Config!$C$14">
        <xdr:nvSpPr>
          <xdr:cNvPr id="74" name="Page7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/>
        </xdr:nvSpPr>
        <xdr:spPr>
          <a:xfrm>
            <a:off x="11305588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9B11C8C-9556-46ED-AA2D-12BA360F7EB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onfig" textlink="Config!$C$15">
        <xdr:nvSpPr>
          <xdr:cNvPr id="75" name="Page8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1298097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9EC37F-C290-4E40-8113-B7D5E57CA44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95250</xdr:rowOff>
        </xdr:from>
        <xdr:to>
          <xdr:col>2</xdr:col>
          <xdr:colOff>9525</xdr:colOff>
          <xdr:row>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1028700</xdr:colOff>
      <xdr:row>0</xdr:row>
      <xdr:rowOff>57150</xdr:rowOff>
    </xdr:from>
    <xdr:to>
      <xdr:col>17</xdr:col>
      <xdr:colOff>199050</xdr:colOff>
      <xdr:row>1</xdr:row>
      <xdr:rowOff>76200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2343150" y="57150"/>
          <a:ext cx="9324000" cy="476250"/>
          <a:chOff x="973452" y="103500"/>
          <a:chExt cx="13700637" cy="47625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973452" y="111750"/>
            <a:ext cx="13700637" cy="46800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C$8">
        <xdr:nvSpPr>
          <xdr:cNvPr id="15" name="Page1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056736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300C5F6-A41C-43BA-B22D-EFBDE81A086C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Accueil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article" textlink="Config!$C$9">
        <xdr:nvSpPr>
          <xdr:cNvPr id="16" name="Page2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2717951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B4C6EF3-EFD5-4A4F-BD29-8DCF647A6919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order" textlink="Config!$C$10">
        <xdr:nvSpPr>
          <xdr:cNvPr id="17" name="Page3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438598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CB22588-59A3-44DD-B10B-BC4DB8580E21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Commande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po" textlink="Config!$C$11">
        <xdr:nvSpPr>
          <xdr:cNvPr id="18" name="Page4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6042557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CA00B7-9A3E-4A69-8E7F-3A87B0174BE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Page Com.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booking" textlink="Config!$C$12">
        <xdr:nvSpPr>
          <xdr:cNvPr id="19" name="Page5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7696424" y="103500"/>
            <a:ext cx="1904336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B6B0E48-67ED-4FA5-8518-D466F3EA815F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Entré - Sortie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supplier" textlink="Config!$C$13">
        <xdr:nvSpPr>
          <xdr:cNvPr id="20" name="Page6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9633884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6BDD641-1A4D-4F93-8CAD-3AEC6107B77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ustommer" textlink="Config!$C$14">
        <xdr:nvSpPr>
          <xdr:cNvPr id="21" name="Page7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1305588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9B11C8C-9556-46ED-AA2D-12BA360F7EB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onfig" textlink="Config!$C$15">
        <xdr:nvSpPr>
          <xdr:cNvPr id="22" name="Page8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298097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9EC37F-C290-4E40-8113-B7D5E57CA44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76200</xdr:rowOff>
        </xdr:from>
        <xdr:to>
          <xdr:col>2</xdr:col>
          <xdr:colOff>19050</xdr:colOff>
          <xdr:row>3</xdr:row>
          <xdr:rowOff>180975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523875</xdr:colOff>
      <xdr:row>0</xdr:row>
      <xdr:rowOff>66675</xdr:rowOff>
    </xdr:from>
    <xdr:to>
      <xdr:col>10</xdr:col>
      <xdr:colOff>494325</xdr:colOff>
      <xdr:row>1</xdr:row>
      <xdr:rowOff>76200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2343150" y="66675"/>
          <a:ext cx="9324000" cy="476250"/>
          <a:chOff x="973452" y="103500"/>
          <a:chExt cx="13700637" cy="47625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973452" y="111750"/>
            <a:ext cx="13700637" cy="46800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C$8">
        <xdr:nvSpPr>
          <xdr:cNvPr id="15" name="Page1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1056736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300C5F6-A41C-43BA-B22D-EFBDE81A086C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Accueil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article" textlink="Config!$C$9">
        <xdr:nvSpPr>
          <xdr:cNvPr id="16" name="Page2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2717951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B4C6EF3-EFD5-4A4F-BD29-8DCF647A6919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order" textlink="Config!$C$10">
        <xdr:nvSpPr>
          <xdr:cNvPr id="17" name="Page3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438598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CB22588-59A3-44DD-B10B-BC4DB8580E21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Commande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po" textlink="Config!$C$11">
        <xdr:nvSpPr>
          <xdr:cNvPr id="18" name="Page4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42557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CA00B7-9A3E-4A69-8E7F-3A87B0174BE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Page Com.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booking" textlink="Config!$C$12">
        <xdr:nvSpPr>
          <xdr:cNvPr id="19" name="Page5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7696424" y="103500"/>
            <a:ext cx="1904336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B6B0E48-67ED-4FA5-8518-D466F3EA815F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Entré - Sortie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supplier" textlink="Config!$C$13">
        <xdr:nvSpPr>
          <xdr:cNvPr id="20" name="Page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9633884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6BDD641-1A4D-4F93-8CAD-3AEC6107B77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ustommer" textlink="Config!$C$14">
        <xdr:nvSpPr>
          <xdr:cNvPr id="21" name="Page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11305588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9B11C8C-9556-46ED-AA2D-12BA360F7EB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onfig" textlink="Config!$C$15">
        <xdr:nvSpPr>
          <xdr:cNvPr id="22" name="Page8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1298097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9EC37F-C290-4E40-8113-B7D5E57CA44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800100</xdr:colOff>
      <xdr:row>0</xdr:row>
      <xdr:rowOff>66675</xdr:rowOff>
    </xdr:from>
    <xdr:to>
      <xdr:col>13</xdr:col>
      <xdr:colOff>703875</xdr:colOff>
      <xdr:row>1</xdr:row>
      <xdr:rowOff>85725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2324100" y="66675"/>
          <a:ext cx="9324000" cy="476250"/>
          <a:chOff x="973452" y="103500"/>
          <a:chExt cx="13700637" cy="47625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973452" y="111750"/>
            <a:ext cx="13700637" cy="46800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C$8">
        <xdr:nvSpPr>
          <xdr:cNvPr id="24" name="Page1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1056736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300C5F6-A41C-43BA-B22D-EFBDE81A086C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Accueil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article" textlink="Config!$C$9">
        <xdr:nvSpPr>
          <xdr:cNvPr id="25" name="Page2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2717951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B4C6EF3-EFD5-4A4F-BD29-8DCF647A6919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order" textlink="Config!$C$10">
        <xdr:nvSpPr>
          <xdr:cNvPr id="26" name="Page3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438598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CB22588-59A3-44DD-B10B-BC4DB8580E21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Commande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po" textlink="Config!$C$11">
        <xdr:nvSpPr>
          <xdr:cNvPr id="27" name="Page4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6042557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CA00B7-9A3E-4A69-8E7F-3A87B0174BE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Page Com.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booking" textlink="Config!$C$12">
        <xdr:nvSpPr>
          <xdr:cNvPr id="28" name="Page5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/>
        </xdr:nvSpPr>
        <xdr:spPr>
          <a:xfrm>
            <a:off x="7696424" y="103500"/>
            <a:ext cx="1904336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B6B0E48-67ED-4FA5-8518-D466F3EA815F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Entré - Sortie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supplier" textlink="Config!$C$13">
        <xdr:nvSpPr>
          <xdr:cNvPr id="29" name="Page6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/>
        </xdr:nvSpPr>
        <xdr:spPr>
          <a:xfrm>
            <a:off x="9633884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6BDD641-1A4D-4F93-8CAD-3AEC6107B77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ustommer" textlink="Config!$C$14">
        <xdr:nvSpPr>
          <xdr:cNvPr id="30" name="Page7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/>
        </xdr:nvSpPr>
        <xdr:spPr>
          <a:xfrm>
            <a:off x="11305588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9B11C8C-9556-46ED-AA2D-12BA360F7EB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onfig" textlink="Config!$C$15">
        <xdr:nvSpPr>
          <xdr:cNvPr id="31" name="Page8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/>
        </xdr:nvSpPr>
        <xdr:spPr>
          <a:xfrm>
            <a:off x="1298097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9EC37F-C290-4E40-8113-B7D5E57CA44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</xdr:row>
          <xdr:rowOff>85725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6152" name="CommandButton1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809625</xdr:colOff>
      <xdr:row>0</xdr:row>
      <xdr:rowOff>66675</xdr:rowOff>
    </xdr:from>
    <xdr:to>
      <xdr:col>13</xdr:col>
      <xdr:colOff>227625</xdr:colOff>
      <xdr:row>1</xdr:row>
      <xdr:rowOff>76200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2333625" y="66675"/>
          <a:ext cx="9324000" cy="476250"/>
          <a:chOff x="973452" y="103500"/>
          <a:chExt cx="13700637" cy="476250"/>
        </a:xfrm>
      </xdr:grpSpPr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>
          <a:xfrm>
            <a:off x="973452" y="111750"/>
            <a:ext cx="13700637" cy="46800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C$8">
        <xdr:nvSpPr>
          <xdr:cNvPr id="25" name="Page1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1056736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300C5F6-A41C-43BA-B22D-EFBDE81A086C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Accueil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article" textlink="Config!$C$9">
        <xdr:nvSpPr>
          <xdr:cNvPr id="26" name="Page2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2717951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B4C6EF3-EFD5-4A4F-BD29-8DCF647A6919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order" textlink="Config!$C$10">
        <xdr:nvSpPr>
          <xdr:cNvPr id="27" name="Page3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438598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CB22588-59A3-44DD-B10B-BC4DB8580E21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Commande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po" textlink="Config!$C$11">
        <xdr:nvSpPr>
          <xdr:cNvPr id="28" name="Page4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6042557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CA00B7-9A3E-4A69-8E7F-3A87B0174BE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Page Com.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booking" textlink="Config!$C$12">
        <xdr:nvSpPr>
          <xdr:cNvPr id="29" name="Page5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7696424" y="103500"/>
            <a:ext cx="1904336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B6B0E48-67ED-4FA5-8518-D466F3EA815F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Entré - Sortie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supplier" textlink="Config!$C$13">
        <xdr:nvSpPr>
          <xdr:cNvPr id="30" name="Page6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9633884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6BDD641-1A4D-4F93-8CAD-3AEC6107B77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ustommer" textlink="Config!$C$14">
        <xdr:nvSpPr>
          <xdr:cNvPr id="31" name="Page7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>
            <a:off x="11305588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9B11C8C-9556-46ED-AA2D-12BA360F7EB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onfig" textlink="Config!$C$15">
        <xdr:nvSpPr>
          <xdr:cNvPr id="32" name="Page8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1298097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9EC37F-C290-4E40-8113-B7D5E57CA44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209550</xdr:colOff>
      <xdr:row>0</xdr:row>
      <xdr:rowOff>57150</xdr:rowOff>
    </xdr:from>
    <xdr:to>
      <xdr:col>10</xdr:col>
      <xdr:colOff>103800</xdr:colOff>
      <xdr:row>1</xdr:row>
      <xdr:rowOff>76200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2324100" y="57150"/>
          <a:ext cx="9324000" cy="476250"/>
          <a:chOff x="973452" y="103500"/>
          <a:chExt cx="13700637" cy="47625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/>
        </xdr:nvSpPr>
        <xdr:spPr>
          <a:xfrm>
            <a:off x="973452" y="111750"/>
            <a:ext cx="13700637" cy="46800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C$8">
        <xdr:nvSpPr>
          <xdr:cNvPr id="24" name="Page1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>
            <a:off x="1056736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300C5F6-A41C-43BA-B22D-EFBDE81A086C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Accueil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article" textlink="Config!$C$9">
        <xdr:nvSpPr>
          <xdr:cNvPr id="25" name="Page2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>
            <a:off x="2717951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B4C6EF3-EFD5-4A4F-BD29-8DCF647A6919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order" textlink="Config!$C$10">
        <xdr:nvSpPr>
          <xdr:cNvPr id="26" name="Page3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>
            <a:off x="438598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CB22588-59A3-44DD-B10B-BC4DB8580E21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Commande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po" textlink="Config!$C$11">
        <xdr:nvSpPr>
          <xdr:cNvPr id="27" name="Page4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6042557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CA00B7-9A3E-4A69-8E7F-3A87B0174BE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Page Com.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booking" textlink="Config!$C$12">
        <xdr:nvSpPr>
          <xdr:cNvPr id="28" name="Page5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7696424" y="103500"/>
            <a:ext cx="1904336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B6B0E48-67ED-4FA5-8518-D466F3EA815F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Entré - Sortie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supplier" textlink="Config!$C$13">
        <xdr:nvSpPr>
          <xdr:cNvPr id="29" name="Page6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>
            <a:off x="9633884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6BDD641-1A4D-4F93-8CAD-3AEC6107B77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ustommer" textlink="Config!$C$14">
        <xdr:nvSpPr>
          <xdr:cNvPr id="30" name="Page7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11305588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9B11C8C-9556-46ED-AA2D-12BA360F7EB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onfig" textlink="Config!$C$15">
        <xdr:nvSpPr>
          <xdr:cNvPr id="31" name="Page8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/>
        </xdr:nvSpPr>
        <xdr:spPr>
          <a:xfrm>
            <a:off x="1298097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9EC37F-C290-4E40-8113-B7D5E57CA44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190500</xdr:colOff>
      <xdr:row>0</xdr:row>
      <xdr:rowOff>57150</xdr:rowOff>
    </xdr:from>
    <xdr:to>
      <xdr:col>11</xdr:col>
      <xdr:colOff>484800</xdr:colOff>
      <xdr:row>1</xdr:row>
      <xdr:rowOff>66675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2343150" y="57150"/>
          <a:ext cx="9324000" cy="476250"/>
          <a:chOff x="973452" y="103500"/>
          <a:chExt cx="13700637" cy="47625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/>
        </xdr:nvSpPr>
        <xdr:spPr>
          <a:xfrm>
            <a:off x="973452" y="111750"/>
            <a:ext cx="13700637" cy="46800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C$8">
        <xdr:nvSpPr>
          <xdr:cNvPr id="24" name="Page1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>
          <a:xfrm>
            <a:off x="1056736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300C5F6-A41C-43BA-B22D-EFBDE81A086C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Accueil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article" textlink="Config!$C$9">
        <xdr:nvSpPr>
          <xdr:cNvPr id="25" name="Page2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/>
        </xdr:nvSpPr>
        <xdr:spPr>
          <a:xfrm>
            <a:off x="2717951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B4C6EF3-EFD5-4A4F-BD29-8DCF647A6919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order" textlink="Config!$C$10">
        <xdr:nvSpPr>
          <xdr:cNvPr id="26" name="Page3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SpPr/>
        </xdr:nvSpPr>
        <xdr:spPr>
          <a:xfrm>
            <a:off x="438598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CB22588-59A3-44DD-B10B-BC4DB8580E21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Commande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po" textlink="Config!$C$11">
        <xdr:nvSpPr>
          <xdr:cNvPr id="27" name="Page4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6042557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CA00B7-9A3E-4A69-8E7F-3A87B0174BE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Page Com.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booking" textlink="Config!$C$12">
        <xdr:nvSpPr>
          <xdr:cNvPr id="28" name="Page5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SpPr/>
        </xdr:nvSpPr>
        <xdr:spPr>
          <a:xfrm>
            <a:off x="7696424" y="103500"/>
            <a:ext cx="1904336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B6B0E48-67ED-4FA5-8518-D466F3EA815F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Entré - Sortie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supplier" textlink="Config!$C$13">
        <xdr:nvSpPr>
          <xdr:cNvPr id="29" name="Page6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/>
        </xdr:nvSpPr>
        <xdr:spPr>
          <a:xfrm>
            <a:off x="9633884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6BDD641-1A4D-4F93-8CAD-3AEC6107B77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ustommer" textlink="Config!$C$14">
        <xdr:nvSpPr>
          <xdr:cNvPr id="30" name="Page7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/>
        </xdr:nvSpPr>
        <xdr:spPr>
          <a:xfrm>
            <a:off x="11305588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9B11C8C-9556-46ED-AA2D-12BA360F7EB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onfig" textlink="Config!$C$15">
        <xdr:nvSpPr>
          <xdr:cNvPr id="31" name="Page8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1298097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9EC37F-C290-4E40-8113-B7D5E57CA44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276225</xdr:colOff>
      <xdr:row>0</xdr:row>
      <xdr:rowOff>57150</xdr:rowOff>
    </xdr:from>
    <xdr:to>
      <xdr:col>13</xdr:col>
      <xdr:colOff>313350</xdr:colOff>
      <xdr:row>1</xdr:row>
      <xdr:rowOff>76200</xdr:rowOff>
    </xdr:to>
    <xdr:grpSp>
      <xdr:nvGrpSpPr>
        <xdr:cNvPr id="111" name="Groupe 110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GrpSpPr/>
      </xdr:nvGrpSpPr>
      <xdr:grpSpPr>
        <a:xfrm>
          <a:off x="2343150" y="57150"/>
          <a:ext cx="9324000" cy="476250"/>
          <a:chOff x="973452" y="103500"/>
          <a:chExt cx="13700637" cy="476250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700-000070000000}"/>
              </a:ext>
            </a:extLst>
          </xdr:cNvPr>
          <xdr:cNvSpPr/>
        </xdr:nvSpPr>
        <xdr:spPr>
          <a:xfrm>
            <a:off x="973452" y="111750"/>
            <a:ext cx="13700637" cy="46800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C$8">
        <xdr:nvSpPr>
          <xdr:cNvPr id="113" name="Page1">
            <a:extLst>
              <a:ext uri="{FF2B5EF4-FFF2-40B4-BE49-F238E27FC236}">
                <a16:creationId xmlns:a16="http://schemas.microsoft.com/office/drawing/2014/main" id="{00000000-0008-0000-0700-000071000000}"/>
              </a:ext>
            </a:extLst>
          </xdr:cNvPr>
          <xdr:cNvSpPr/>
        </xdr:nvSpPr>
        <xdr:spPr>
          <a:xfrm>
            <a:off x="1056736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300C5F6-A41C-43BA-B22D-EFBDE81A086C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Accueil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article" textlink="Config!$C$9">
        <xdr:nvSpPr>
          <xdr:cNvPr id="114" name="Page2">
            <a:extLst>
              <a:ext uri="{FF2B5EF4-FFF2-40B4-BE49-F238E27FC236}">
                <a16:creationId xmlns:a16="http://schemas.microsoft.com/office/drawing/2014/main" id="{00000000-0008-0000-0700-000072000000}"/>
              </a:ext>
            </a:extLst>
          </xdr:cNvPr>
          <xdr:cNvSpPr/>
        </xdr:nvSpPr>
        <xdr:spPr>
          <a:xfrm>
            <a:off x="2717951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B4C6EF3-EFD5-4A4F-BD29-8DCF647A6919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Article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order" textlink="Config!$C$10">
        <xdr:nvSpPr>
          <xdr:cNvPr id="115" name="Page3">
            <a:extLst>
              <a:ext uri="{FF2B5EF4-FFF2-40B4-BE49-F238E27FC236}">
                <a16:creationId xmlns:a16="http://schemas.microsoft.com/office/drawing/2014/main" id="{00000000-0008-0000-0700-000073000000}"/>
              </a:ext>
            </a:extLst>
          </xdr:cNvPr>
          <xdr:cNvSpPr/>
        </xdr:nvSpPr>
        <xdr:spPr>
          <a:xfrm>
            <a:off x="438598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CB22588-59A3-44DD-B10B-BC4DB8580E21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Commande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po" textlink="Config!$C$11">
        <xdr:nvSpPr>
          <xdr:cNvPr id="116" name="Page4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/>
        </xdr:nvSpPr>
        <xdr:spPr>
          <a:xfrm>
            <a:off x="6042557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3CA00B7-9A3E-4A69-8E7F-3A87B0174BE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Page Com.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booking" textlink="Config!$C$12">
        <xdr:nvSpPr>
          <xdr:cNvPr id="117" name="Page5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/>
        </xdr:nvSpPr>
        <xdr:spPr>
          <a:xfrm>
            <a:off x="7696424" y="103500"/>
            <a:ext cx="1904336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B6B0E48-67ED-4FA5-8518-D466F3EA815F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Entré - Sortie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supplier" textlink="Config!$C$13">
        <xdr:nvSpPr>
          <xdr:cNvPr id="118" name="Page6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SpPr/>
        </xdr:nvSpPr>
        <xdr:spPr>
          <a:xfrm>
            <a:off x="9633884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6BDD641-1A4D-4F93-8CAD-3AEC6107B77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Fournisseur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ustommer" textlink="Config!$C$14">
        <xdr:nvSpPr>
          <xdr:cNvPr id="119" name="Page7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/>
        </xdr:nvSpPr>
        <xdr:spPr>
          <a:xfrm>
            <a:off x="11305588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9B11C8C-9556-46ED-AA2D-12BA360F7EBA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Client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  <xdr:sp macro="[0]!Page_config" textlink="Config!$C$15">
        <xdr:nvSpPr>
          <xdr:cNvPr id="120" name="Page8">
            <a:extLst>
              <a:ext uri="{FF2B5EF4-FFF2-40B4-BE49-F238E27FC236}">
                <a16:creationId xmlns:a16="http://schemas.microsoft.com/office/drawing/2014/main" id="{00000000-0008-0000-0700-000078000000}"/>
              </a:ext>
            </a:extLst>
          </xdr:cNvPr>
          <xdr:cNvSpPr/>
        </xdr:nvSpPr>
        <xdr:spPr>
          <a:xfrm>
            <a:off x="12980970" y="103500"/>
            <a:ext cx="1605990" cy="468000"/>
          </a:xfrm>
          <a:prstGeom prst="rect">
            <a:avLst/>
          </a:prstGeom>
          <a:ln/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9EC37F-C290-4E40-8113-B7D5E57CA447}" type="TxLink">
              <a:rPr lang="en-US" sz="1400" b="1" i="0" u="none" strike="noStrike">
                <a:solidFill>
                  <a:schemeClr val="bg1"/>
                </a:solidFill>
                <a:latin typeface="Bahnschrift Light" panose="020B0502040204020203" pitchFamily="34" charset="0"/>
                <a:cs typeface="Calibri"/>
              </a:rPr>
              <a:pPr algn="ctr"/>
              <a:t>Config</a:t>
            </a:fld>
            <a:endParaRPr lang="fr-FR" sz="1400" b="1">
              <a:solidFill>
                <a:schemeClr val="bg1"/>
              </a:solidFill>
              <a:latin typeface="Bahnschrift Light" panose="020B0502040204020203" pitchFamily="34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3" displayName="Tableau3" ref="B5:V11" totalsRowShown="0" headerRowDxfId="69" dataDxfId="68">
  <autoFilter ref="B5:V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00000000-0010-0000-0000-000001000000}" name="Nr Article " dataDxfId="67"/>
    <tableColumn id="2" xr3:uid="{00000000-0010-0000-0000-000002000000}" name="Nom" dataDxfId="66"/>
    <tableColumn id="3" xr3:uid="{00000000-0010-0000-0000-000003000000}" name="Description" dataDxfId="65"/>
    <tableColumn id="4" xr3:uid="{00000000-0010-0000-0000-000004000000}" name="Prix unité" dataDxfId="64"/>
    <tableColumn id="5" xr3:uid="{00000000-0010-0000-0000-000005000000}" name="Stock" dataDxfId="63">
      <calculatedColumnFormula>SUMIFS(Tableau7[Nombre],Tableau7[Nr Articel],Tableau3[[#This Row],[Nr Article ]],Tableau7[[Type ]],"Entrée")-SUMIFS(Tableau7[Nombre],Tableau7[Nr Articel],Tableau3[[#This Row],[Nr Article ]],Tableau7[[Type ]],"Sortie")</calculatedColumnFormula>
    </tableColumn>
    <tableColumn id="6" xr3:uid="{00000000-0010-0000-0000-000006000000}" name="Valeur stock" dataDxfId="62" dataCellStyle="Monétaire">
      <calculatedColumnFormula>E6*F6</calculatedColumnFormula>
    </tableColumn>
    <tableColumn id="7" xr3:uid="{00000000-0010-0000-0000-000007000000}" name="stock min" dataDxfId="61"/>
    <tableColumn id="8" xr3:uid="{00000000-0010-0000-0000-000008000000}" name="Flag" dataDxfId="60">
      <calculatedColumnFormula>IF(H6&gt;F6,1,"")</calculatedColumnFormula>
    </tableColumn>
    <tableColumn id="22" xr3:uid="{00000000-0010-0000-0000-000016000000}" name="Statuts" dataDxfId="59"/>
    <tableColumn id="9" xr3:uid="{00000000-0010-0000-0000-000009000000}" name="Vide" dataDxfId="58"/>
    <tableColumn id="10" xr3:uid="{00000000-0010-0000-0000-00000A000000}" name="1" dataDxfId="57"/>
    <tableColumn id="11" xr3:uid="{00000000-0010-0000-0000-00000B000000}" name="2" dataDxfId="56"/>
    <tableColumn id="12" xr3:uid="{00000000-0010-0000-0000-00000C000000}" name="3" dataDxfId="55"/>
    <tableColumn id="13" xr3:uid="{00000000-0010-0000-0000-00000D000000}" name="4" dataDxfId="54"/>
    <tableColumn id="14" xr3:uid="{00000000-0010-0000-0000-00000E000000}" name="5" dataDxfId="53"/>
    <tableColumn id="15" xr3:uid="{00000000-0010-0000-0000-00000F000000}" name="6" dataDxfId="52"/>
    <tableColumn id="16" xr3:uid="{00000000-0010-0000-0000-000010000000}" name="7" dataDxfId="51"/>
    <tableColumn id="17" xr3:uid="{00000000-0010-0000-0000-000011000000}" name="8" dataDxfId="50"/>
    <tableColumn id="18" xr3:uid="{00000000-0010-0000-0000-000012000000}" name="9" dataDxfId="49"/>
    <tableColumn id="19" xr3:uid="{00000000-0010-0000-0000-000013000000}" name="10" dataDxfId="48"/>
    <tableColumn id="20" xr3:uid="{00000000-0010-0000-0000-000014000000}" name="&gt;10" dataDxfId="4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au6" displayName="Tableau6" ref="B5:K14" totalsRowShown="0" headerRowDxfId="46" dataDxfId="45">
  <autoFilter ref="B5:K1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100-000001000000}" name="Nr .com" dataDxfId="44"/>
    <tableColumn id="2" xr3:uid="{00000000-0010-0000-0100-000002000000}" name="Date" dataDxfId="43"/>
    <tableColumn id="3" xr3:uid="{00000000-0010-0000-0100-000003000000}" name="Nr Articel" dataDxfId="42"/>
    <tableColumn id="4" xr3:uid="{00000000-0010-0000-0100-000004000000}" name="Nom" dataDxfId="41"/>
    <tableColumn id="5" xr3:uid="{00000000-0010-0000-0100-000005000000}" name="Nombre" dataDxfId="40"/>
    <tableColumn id="6" xr3:uid="{00000000-0010-0000-0100-000006000000}" name="Prix" dataDxfId="39" dataCellStyle="Monétaire"/>
    <tableColumn id="7" xr3:uid="{00000000-0010-0000-0100-000007000000}" name="Prix total" dataDxfId="38" dataCellStyle="Monétaire">
      <calculatedColumnFormula>Tableau6[Prix]*Tableau6[Nombre]</calculatedColumnFormula>
    </tableColumn>
    <tableColumn id="8" xr3:uid="{00000000-0010-0000-0100-000008000000}" name="Fournisseur" dataDxfId="37"/>
    <tableColumn id="11" xr3:uid="{00000000-0010-0000-0100-00000B000000}" name="Contrôle" dataDxfId="36">
      <calculatedColumnFormula array="1">IFERROR(INDEX(Tableau7[Nombre],MATCH(1,(Tableau6[[#This Row],[Nr .com]]=Tableau7[Nr Bon de Com.])*(Tableau6[[#This Row],[Nr Articel]]=Tableau7[Nr Articel]),0)),"")</calculatedColumnFormula>
    </tableColumn>
    <tableColumn id="12" xr3:uid="{00000000-0010-0000-0100-00000C000000}" name="check" dataDxfId="35">
      <calculatedColumnFormula array="1">IFERROR(IF(Tableau6[[#This Row],[Contrôle]]=Tableau6[[#This Row],[Nombre]],"Close","Open"),"")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au7" displayName="Tableau7" ref="B4:L17" totalsRowShown="0">
  <autoFilter ref="B4:L17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0200-000001000000}" name="Type "/>
    <tableColumn id="2" xr3:uid="{00000000-0010-0000-0200-000002000000}" name="Nr Facture "/>
    <tableColumn id="3" xr3:uid="{00000000-0010-0000-0200-000003000000}" name="Nr Bon de Com."/>
    <tableColumn id="4" xr3:uid="{00000000-0010-0000-0200-000004000000}" name="Fournisseur"/>
    <tableColumn id="5" xr3:uid="{00000000-0010-0000-0200-000005000000}" name="Client "/>
    <tableColumn id="6" xr3:uid="{00000000-0010-0000-0200-000006000000}" name="Nr Articel"/>
    <tableColumn id="7" xr3:uid="{00000000-0010-0000-0200-000007000000}" name="Nombre"/>
    <tableColumn id="9" xr3:uid="{00000000-0010-0000-0200-000009000000}" name="Prix"/>
    <tableColumn id="10" xr3:uid="{00000000-0010-0000-0200-00000A000000}" name="Prix Total" dataDxfId="34" dataCellStyle="Monétaire">
      <calculatedColumnFormula>IFERROR(Tableau7[[#This Row],[Nombre]]*Tableau7[[#This Row],[Prix]],"")</calculatedColumnFormula>
    </tableColumn>
    <tableColumn id="8" xr3:uid="{00000000-0010-0000-0200-000008000000}" name="Ranking" dataDxfId="33">
      <calculatedColumnFormula>IF(Tableau7[[Type ]]="Sortie",COUNTIFS(Tableau7[[Type ]],"Sortie",Tableau7[Nombre],"&gt;"&amp;Tableau7[[#This Row],[Nombre]])+1,"")</calculatedColumnFormula>
    </tableColumn>
    <tableColumn id="11" xr3:uid="{00000000-0010-0000-0200-00000B000000}" name="Total vendue" dataDxfId="32">
      <calculatedColumnFormula>IF(Tableau7[[Type ]]="Sortie",Tableau7[Prix Total],"")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au2" displayName="Tableau2" ref="B5:I10" totalsRowShown="0" headerRowDxfId="31" dataDxfId="30">
  <autoFilter ref="B5:I10" xr:uid="{00000000-0009-0000-0100-000002000000}"/>
  <tableColumns count="8">
    <tableColumn id="1" xr3:uid="{00000000-0010-0000-0300-000001000000}" name="Nom" dataDxfId="29"/>
    <tableColumn id="2" xr3:uid="{00000000-0010-0000-0300-000002000000}" name="Adresse" dataDxfId="28"/>
    <tableColumn id="3" xr3:uid="{00000000-0010-0000-0300-000003000000}" name="Cp" dataDxfId="27"/>
    <tableColumn id="4" xr3:uid="{00000000-0010-0000-0300-000004000000}" name="Ville" dataDxfId="26"/>
    <tableColumn id="5" xr3:uid="{00000000-0010-0000-0300-000005000000}" name="Pays" dataDxfId="25"/>
    <tableColumn id="6" xr3:uid="{00000000-0010-0000-0300-000006000000}" name="Téléphone" dataDxfId="24"/>
    <tableColumn id="7" xr3:uid="{00000000-0010-0000-0300-000007000000}" name="Mail" dataDxfId="23" dataCellStyle="Lien hypertexte"/>
    <tableColumn id="8" xr3:uid="{00000000-0010-0000-0300-000008000000}" name="Groupe" dataDxfId="22">
      <calculatedColumnFormula>CONCATENATE(LEFT(F6,2),"-",D6," ",E6)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au5" displayName="Tableau5" ref="B5:I10" totalsRowShown="0" headerRowDxfId="21" dataDxfId="20">
  <autoFilter ref="B5:I10" xr:uid="{00000000-0009-0000-0100-000003000000}"/>
  <tableColumns count="8">
    <tableColumn id="1" xr3:uid="{00000000-0010-0000-0400-000001000000}" name="Nom" dataDxfId="19"/>
    <tableColumn id="2" xr3:uid="{00000000-0010-0000-0400-000002000000}" name="Adresse" dataDxfId="18"/>
    <tableColumn id="3" xr3:uid="{00000000-0010-0000-0400-000003000000}" name="Cp" dataDxfId="17"/>
    <tableColumn id="4" xr3:uid="{00000000-0010-0000-0400-000004000000}" name="Ville" dataDxfId="16"/>
    <tableColumn id="5" xr3:uid="{00000000-0010-0000-0400-000005000000}" name="Pays" dataDxfId="15"/>
    <tableColumn id="6" xr3:uid="{00000000-0010-0000-0400-000006000000}" name="Téléphone" dataDxfId="14"/>
    <tableColumn id="7" xr3:uid="{00000000-0010-0000-0400-000007000000}" name="Mail" dataDxfId="13" dataCellStyle="Lien hypertexte"/>
    <tableColumn id="8" xr3:uid="{00000000-0010-0000-0400-000008000000}" name="Groupe" dataDxfId="12">
      <calculatedColumnFormula>CONCATENATE(LEFT(F6,2),"-",Tableau5[Cp]," ",Tableau5[Ville])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mailto:Kadi@gmail.com" TargetMode="External"/><Relationship Id="rId1" Type="http://schemas.openxmlformats.org/officeDocument/2006/relationships/hyperlink" Target="mailto:lom&#233;@gmail.com" TargetMode="Externa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Ali@gmail.com" TargetMode="External"/><Relationship Id="rId2" Type="http://schemas.openxmlformats.org/officeDocument/2006/relationships/hyperlink" Target="mailto:Julien@gmail.com" TargetMode="External"/><Relationship Id="rId1" Type="http://schemas.openxmlformats.org/officeDocument/2006/relationships/hyperlink" Target="mailto:Kara@gmail.com" TargetMode="External"/><Relationship Id="rId5" Type="http://schemas.openxmlformats.org/officeDocument/2006/relationships/table" Target="../tables/table5.xm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Lom&#233;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L1:L5"/>
  <sheetViews>
    <sheetView showGridLines="0" showRowColHeaders="0" workbookViewId="0">
      <selection activeCell="J6" sqref="J6"/>
    </sheetView>
  </sheetViews>
  <sheetFormatPr baseColWidth="10" defaultRowHeight="15" x14ac:dyDescent="0.25"/>
  <sheetData>
    <row r="1" spans="12:12" ht="38.25" customHeight="1" x14ac:dyDescent="0.25"/>
    <row r="5" spans="12:12" x14ac:dyDescent="0.25">
      <c r="L5" t="s">
        <v>87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B1:V11"/>
  <sheetViews>
    <sheetView showGridLines="0" showRowColHeaders="0" tabSelected="1" workbookViewId="0">
      <selection activeCell="O13" sqref="O13"/>
    </sheetView>
  </sheetViews>
  <sheetFormatPr baseColWidth="10" defaultRowHeight="15" x14ac:dyDescent="0.25"/>
  <cols>
    <col min="1" max="1" width="8.28515625" customWidth="1"/>
    <col min="3" max="3" width="15.5703125" bestFit="1" customWidth="1"/>
    <col min="4" max="4" width="29" style="8" customWidth="1"/>
    <col min="5" max="5" width="12.7109375" customWidth="1"/>
    <col min="7" max="7" width="11.42578125" style="6"/>
    <col min="9" max="9" width="17" customWidth="1"/>
    <col min="10" max="10" width="13.42578125" customWidth="1"/>
    <col min="11" max="11" width="1.140625" customWidth="1"/>
    <col min="12" max="22" width="4.85546875" customWidth="1"/>
  </cols>
  <sheetData>
    <row r="1" spans="2:22" ht="36" customHeight="1" x14ac:dyDescent="0.25"/>
    <row r="4" spans="2:22" x14ac:dyDescent="0.25">
      <c r="L4">
        <v>1</v>
      </c>
      <c r="M4">
        <v>2</v>
      </c>
      <c r="N4">
        <v>3</v>
      </c>
      <c r="O4">
        <v>4</v>
      </c>
      <c r="P4">
        <v>5</v>
      </c>
      <c r="Q4">
        <v>6</v>
      </c>
      <c r="R4">
        <v>7</v>
      </c>
      <c r="S4">
        <v>8</v>
      </c>
      <c r="T4">
        <v>9</v>
      </c>
      <c r="U4">
        <v>10</v>
      </c>
    </row>
    <row r="5" spans="2:22" x14ac:dyDescent="0.25">
      <c r="B5" s="4" t="s">
        <v>72</v>
      </c>
      <c r="C5" s="4" t="s">
        <v>19</v>
      </c>
      <c r="D5" s="9" t="s">
        <v>0</v>
      </c>
      <c r="E5" s="4" t="s">
        <v>18</v>
      </c>
      <c r="F5" s="4" t="s">
        <v>17</v>
      </c>
      <c r="G5" s="7" t="s">
        <v>16</v>
      </c>
      <c r="H5" s="4" t="s">
        <v>15</v>
      </c>
      <c r="I5" s="4" t="s">
        <v>14</v>
      </c>
      <c r="J5" s="4" t="s">
        <v>13</v>
      </c>
      <c r="K5" s="10" t="s">
        <v>12</v>
      </c>
      <c r="L5" s="4" t="s">
        <v>11</v>
      </c>
      <c r="M5" s="4" t="s">
        <v>10</v>
      </c>
      <c r="N5" s="4" t="s">
        <v>9</v>
      </c>
      <c r="O5" s="4" t="s">
        <v>8</v>
      </c>
      <c r="P5" s="4" t="s">
        <v>7</v>
      </c>
      <c r="Q5" s="4" t="s">
        <v>6</v>
      </c>
      <c r="R5" s="4" t="s">
        <v>5</v>
      </c>
      <c r="S5" s="4" t="s">
        <v>4</v>
      </c>
      <c r="T5" s="4" t="s">
        <v>3</v>
      </c>
      <c r="U5" s="4" t="s">
        <v>2</v>
      </c>
      <c r="V5" s="4" t="s">
        <v>1</v>
      </c>
    </row>
    <row r="6" spans="2:22" x14ac:dyDescent="0.25">
      <c r="B6" s="38" t="s">
        <v>122</v>
      </c>
      <c r="C6" s="38" t="s">
        <v>140</v>
      </c>
      <c r="D6" s="39" t="s">
        <v>141</v>
      </c>
      <c r="E6" s="43">
        <v>12.2</v>
      </c>
      <c r="F6" s="41">
        <f>SUMIFS(Tableau7[Nombre],Tableau7[Nr Articel],Tableau3[[#This Row],[Nr Article ]],Tableau7[[Type ]],"Entrée")-SUMIFS(Tableau7[Nombre],Tableau7[Nr Articel],Tableau3[[#This Row],[Nr Article ]],Tableau7[[Type ]],"Sortie")</f>
        <v>8</v>
      </c>
      <c r="G6" s="40">
        <f>E6*F6</f>
        <v>97.6</v>
      </c>
      <c r="H6" s="38">
        <v>9</v>
      </c>
      <c r="I6" s="50">
        <f>IF(H6&gt;F6,1,"")</f>
        <v>1</v>
      </c>
      <c r="J6" s="50" t="s">
        <v>98</v>
      </c>
      <c r="K6" s="42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</row>
    <row r="7" spans="2:22" ht="30" x14ac:dyDescent="0.25">
      <c r="B7" s="38" t="s">
        <v>123</v>
      </c>
      <c r="C7" s="38" t="s">
        <v>142</v>
      </c>
      <c r="D7" s="39" t="s">
        <v>143</v>
      </c>
      <c r="E7" s="43">
        <v>290</v>
      </c>
      <c r="F7" s="41">
        <f>SUMIFS(Tableau7[Nombre],Tableau7[Nr Articel],Tableau3[[#This Row],[Nr Article ]],Tableau7[[Type ]],"Entrée")-SUMIFS(Tableau7[Nombre],Tableau7[Nr Articel],Tableau3[[#This Row],[Nr Article ]],Tableau7[[Type ]],"Sortie")</f>
        <v>18</v>
      </c>
      <c r="G7" s="40">
        <f>E7*F7</f>
        <v>5220</v>
      </c>
      <c r="H7" s="38">
        <v>10</v>
      </c>
      <c r="I7" s="50" t="str">
        <f>IF(H7&gt;F7,1,"")</f>
        <v/>
      </c>
      <c r="J7" s="50" t="s">
        <v>98</v>
      </c>
      <c r="K7" s="42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</row>
    <row r="8" spans="2:22" x14ac:dyDescent="0.25">
      <c r="B8" s="38" t="s">
        <v>129</v>
      </c>
      <c r="C8" s="38" t="s">
        <v>144</v>
      </c>
      <c r="D8" s="39" t="s">
        <v>145</v>
      </c>
      <c r="E8" s="43">
        <v>1.1000000000000001</v>
      </c>
      <c r="F8" s="41">
        <f>SUMIFS(Tableau7[Nombre],Tableau7[Nr Articel],Tableau3[[#This Row],[Nr Article ]],Tableau7[[Type ]],"Entrée")-SUMIFS(Tableau7[Nombre],Tableau7[Nr Articel],Tableau3[[#This Row],[Nr Article ]],Tableau7[[Type ]],"Sortie")</f>
        <v>1</v>
      </c>
      <c r="G8" s="40">
        <f>E8*F8</f>
        <v>1.1000000000000001</v>
      </c>
      <c r="H8" s="38">
        <v>2</v>
      </c>
      <c r="I8" s="50">
        <f>IF(H8&gt;F8,1,"")</f>
        <v>1</v>
      </c>
      <c r="J8" s="50" t="s">
        <v>98</v>
      </c>
      <c r="K8" s="42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</row>
    <row r="9" spans="2:22" x14ac:dyDescent="0.25">
      <c r="B9" s="38" t="s">
        <v>150</v>
      </c>
      <c r="C9" s="38" t="s">
        <v>151</v>
      </c>
      <c r="D9" s="39" t="s">
        <v>152</v>
      </c>
      <c r="E9" s="43">
        <v>5.2</v>
      </c>
      <c r="F9" s="41">
        <f>SUMIFS(Tableau7[Nombre],Tableau7[Nr Articel],Tableau3[[#This Row],[Nr Article ]],Tableau7[[Type ]],"Entrée")-SUMIFS(Tableau7[Nombre],Tableau7[Nr Articel],Tableau3[[#This Row],[Nr Article ]],Tableau7[[Type ]],"Sortie")</f>
        <v>6</v>
      </c>
      <c r="G9" s="40">
        <f>E9*F9</f>
        <v>31.200000000000003</v>
      </c>
      <c r="H9" s="38">
        <v>2</v>
      </c>
      <c r="I9" s="51" t="str">
        <f>IF(H9&gt;F9,1,"")</f>
        <v/>
      </c>
      <c r="J9" s="51" t="s">
        <v>98</v>
      </c>
      <c r="K9" s="42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2:22" x14ac:dyDescent="0.25">
      <c r="B10" s="38" t="s">
        <v>157</v>
      </c>
      <c r="C10" s="38" t="s">
        <v>158</v>
      </c>
      <c r="D10" s="39" t="s">
        <v>159</v>
      </c>
      <c r="E10" s="43">
        <v>23</v>
      </c>
      <c r="F10" s="41">
        <f>SUMIFS(Tableau7[Nombre],Tableau7[Nr Articel],Tableau3[[#This Row],[Nr Article ]],Tableau7[[Type ]],"Entrée")-SUMIFS(Tableau7[Nombre],Tableau7[Nr Articel],Tableau3[[#This Row],[Nr Article ]],Tableau7[[Type ]],"Sortie")</f>
        <v>5</v>
      </c>
      <c r="G10" s="40">
        <f>E10*F10</f>
        <v>115</v>
      </c>
      <c r="H10" s="38">
        <v>5</v>
      </c>
      <c r="I10" s="52" t="str">
        <f>IF(H10&gt;F10,1,"")</f>
        <v/>
      </c>
      <c r="J10" s="52" t="s">
        <v>98</v>
      </c>
      <c r="K10" s="42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</row>
    <row r="11" spans="2:22" x14ac:dyDescent="0.25">
      <c r="B11" s="38" t="s">
        <v>163</v>
      </c>
      <c r="C11" s="38" t="s">
        <v>164</v>
      </c>
      <c r="D11" s="39" t="s">
        <v>165</v>
      </c>
      <c r="E11" s="43">
        <v>233</v>
      </c>
      <c r="F11" s="41">
        <f>SUMIFS(Tableau7[Nombre],Tableau7[Nr Articel],Tableau3[[#This Row],[Nr Article ]],Tableau7[[Type ]],"Entrée")-SUMIFS(Tableau7[Nombre],Tableau7[Nr Articel],Tableau3[[#This Row],[Nr Article ]],Tableau7[[Type ]],"Sortie")</f>
        <v>0</v>
      </c>
      <c r="G11" s="40">
        <f>E11*F11</f>
        <v>0</v>
      </c>
      <c r="H11" s="38">
        <v>11</v>
      </c>
      <c r="I11" s="52">
        <f>IF(H11&gt;F11,1,"")</f>
        <v>1</v>
      </c>
      <c r="J11" s="52" t="s">
        <v>98</v>
      </c>
      <c r="K11" s="42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</row>
  </sheetData>
  <conditionalFormatting sqref="L6:V11">
    <cfRule type="expression" dxfId="11" priority="11">
      <formula>AND($B6&lt;&gt;"")</formula>
    </cfRule>
  </conditionalFormatting>
  <conditionalFormatting sqref="L6:U11">
    <cfRule type="expression" dxfId="10" priority="8">
      <formula>AND($B6&lt;&gt;"",$F6=$H6,$F6&gt;=L$4)</formula>
    </cfRule>
    <cfRule type="expression" dxfId="9" priority="9">
      <formula>AND($B6&lt;&gt;"",$F6&lt;$H6,$F6&gt;=L$4)</formula>
    </cfRule>
    <cfRule type="expression" dxfId="8" priority="10">
      <formula>AND($B6&lt;&gt;"",$F6&gt;$H6,$F6&gt;=L$4)</formula>
    </cfRule>
  </conditionalFormatting>
  <conditionalFormatting sqref="V6:V11">
    <cfRule type="expression" dxfId="7" priority="5">
      <formula>AND($B6&lt;&gt;"",$F6&lt;$H6,$F6&gt;U$4)</formula>
    </cfRule>
    <cfRule type="expression" dxfId="6" priority="6">
      <formula>AND($B6&lt;&gt;"",$F6=$H6,$F6&gt;U$4)</formula>
    </cfRule>
    <cfRule type="expression" dxfId="5" priority="7">
      <formula>AND($B6&lt;&gt;"",$F6&gt;$H6,$F6&gt;U$4)</formula>
    </cfRule>
  </conditionalFormatting>
  <conditionalFormatting sqref="K6:K11">
    <cfRule type="expression" dxfId="4" priority="3">
      <formula>AND($B6&lt;&gt;"")</formula>
    </cfRule>
    <cfRule type="expression" dxfId="3" priority="4">
      <formula>AND($B6&lt;&gt;"")</formula>
    </cfRule>
  </conditionalFormatting>
  <conditionalFormatting sqref="J6:J11">
    <cfRule type="expression" dxfId="2" priority="1">
      <formula>IF($F6&gt;0,"Active","Inactive")</formula>
    </cfRule>
  </conditionalFormatting>
  <dataValidations count="1">
    <dataValidation type="list" allowBlank="1" showInputMessage="1" showErrorMessage="1" sqref="J6:J11" xr:uid="{00000000-0002-0000-0100-000000000000}">
      <formula1>"Active,Inactive"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0</xdr:colOff>
                <xdr:row>2</xdr:row>
                <xdr:rowOff>95250</xdr:rowOff>
              </from>
              <to>
                <xdr:col>2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3" id="{E02D76EE-E38B-4817-BEE1-8C2708531F23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I6:J11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B1:K15"/>
  <sheetViews>
    <sheetView showGridLines="0" showRowColHeaders="0" workbookViewId="0">
      <selection activeCell="F12" sqref="F12"/>
    </sheetView>
  </sheetViews>
  <sheetFormatPr baseColWidth="10" defaultRowHeight="15" x14ac:dyDescent="0.25"/>
  <cols>
    <col min="1" max="1" width="11.42578125" style="1"/>
    <col min="2" max="2" width="15.85546875" style="1" customWidth="1"/>
    <col min="3" max="4" width="17.42578125" style="1" customWidth="1"/>
    <col min="5" max="5" width="19.5703125" style="1" customWidth="1"/>
    <col min="6" max="6" width="17.42578125" style="1" customWidth="1"/>
    <col min="7" max="7" width="14.140625" style="1" customWidth="1"/>
    <col min="8" max="8" width="17.42578125" style="1" customWidth="1"/>
    <col min="9" max="10" width="18.42578125" style="1" customWidth="1"/>
    <col min="11" max="16384" width="11.42578125" style="1"/>
  </cols>
  <sheetData>
    <row r="1" spans="2:11" ht="36.75" customHeight="1" x14ac:dyDescent="0.25"/>
    <row r="5" spans="2:11" x14ac:dyDescent="0.25">
      <c r="B5" s="1" t="s">
        <v>30</v>
      </c>
      <c r="C5" s="1" t="s">
        <v>31</v>
      </c>
      <c r="D5" s="1" t="s">
        <v>32</v>
      </c>
      <c r="E5" s="1" t="s">
        <v>19</v>
      </c>
      <c r="F5" s="1" t="s">
        <v>34</v>
      </c>
      <c r="G5" s="1" t="s">
        <v>33</v>
      </c>
      <c r="H5" s="1" t="s">
        <v>35</v>
      </c>
      <c r="I5" s="1" t="s">
        <v>36</v>
      </c>
      <c r="J5" s="1" t="s">
        <v>70</v>
      </c>
      <c r="K5" s="1" t="s">
        <v>71</v>
      </c>
    </row>
    <row r="6" spans="2:11" x14ac:dyDescent="0.25">
      <c r="B6" s="1" t="s">
        <v>146</v>
      </c>
      <c r="C6" s="11">
        <v>43825.435474537036</v>
      </c>
      <c r="D6" s="1" t="s">
        <v>122</v>
      </c>
      <c r="E6" s="1" t="s">
        <v>140</v>
      </c>
      <c r="F6" s="1">
        <v>12</v>
      </c>
      <c r="G6" s="5">
        <v>12.2</v>
      </c>
      <c r="H6" s="5">
        <f>Tableau6[Prix]*Tableau6[Nombre]</f>
        <v>146.39999999999998</v>
      </c>
      <c r="I6" s="1" t="s">
        <v>99</v>
      </c>
      <c r="J6" s="44">
        <f t="array" ref="J6">IFERROR(INDEX(Tableau7[Nombre],MATCH(1,(Tableau6[[#This Row],[Nr .com]]=Tableau7[Nr Bon de Com.])*(Tableau6[[#This Row],[Nr Articel]]=Tableau7[Nr Articel]),0)),"")</f>
        <v>12</v>
      </c>
      <c r="K6" s="44" t="str">
        <f t="array" ref="K6">IFERROR(IF(Tableau6[[#This Row],[Contrôle]]=Tableau6[[#This Row],[Nombre]],"Close","Open"),"")</f>
        <v>Close</v>
      </c>
    </row>
    <row r="7" spans="2:11" x14ac:dyDescent="0.25">
      <c r="B7" s="1" t="s">
        <v>147</v>
      </c>
      <c r="C7" s="11">
        <v>43825.435879629629</v>
      </c>
      <c r="D7" s="1" t="s">
        <v>123</v>
      </c>
      <c r="E7" s="1" t="s">
        <v>142</v>
      </c>
      <c r="F7" s="1">
        <v>2</v>
      </c>
      <c r="G7" s="5">
        <v>290</v>
      </c>
      <c r="H7" s="5">
        <f>Tableau6[Prix]*Tableau6[Nombre]</f>
        <v>580</v>
      </c>
      <c r="I7" s="1" t="s">
        <v>118</v>
      </c>
      <c r="J7" s="44">
        <f t="array" ref="J7">IFERROR(INDEX(Tableau7[Nombre],MATCH(1,(Tableau6[[#This Row],[Nr .com]]=Tableau7[Nr Bon de Com.])*(Tableau6[[#This Row],[Nr Articel]]=Tableau7[Nr Articel]),0)),"")</f>
        <v>2</v>
      </c>
      <c r="K7" s="44" t="str">
        <f t="array" ref="K7">IFERROR(IF(Tableau6[[#This Row],[Contrôle]]=Tableau6[[#This Row],[Nombre]],"Close","Open"),"")</f>
        <v>Close</v>
      </c>
    </row>
    <row r="8" spans="2:11" x14ac:dyDescent="0.25">
      <c r="B8" s="1" t="s">
        <v>147</v>
      </c>
      <c r="C8" s="11">
        <v>43825.435879629629</v>
      </c>
      <c r="D8" s="1" t="s">
        <v>129</v>
      </c>
      <c r="E8" s="1" t="s">
        <v>144</v>
      </c>
      <c r="F8" s="1">
        <v>1</v>
      </c>
      <c r="G8" s="5">
        <v>1.1000000000000001</v>
      </c>
      <c r="H8" s="5">
        <f>Tableau6[Prix]*Tableau6[Nombre]</f>
        <v>1.1000000000000001</v>
      </c>
      <c r="I8" s="1" t="s">
        <v>118</v>
      </c>
      <c r="J8" s="44" t="str">
        <f t="array" ref="J8">IFERROR(INDEX(Tableau7[Nombre],MATCH(1,(Tableau6[[#This Row],[Nr .com]]=Tableau7[Nr Bon de Com.])*(Tableau6[[#This Row],[Nr Articel]]=Tableau7[Nr Articel]),0)),"")</f>
        <v/>
      </c>
      <c r="K8" s="44" t="str">
        <f t="array" ref="K8">IFERROR(IF(Tableau6[[#This Row],[Contrôle]]=Tableau6[[#This Row],[Nombre]],"Close","Open"),"")</f>
        <v>Open</v>
      </c>
    </row>
    <row r="9" spans="2:11" x14ac:dyDescent="0.25">
      <c r="B9" s="1" t="s">
        <v>149</v>
      </c>
      <c r="C9" s="11">
        <v>43825.446400462963</v>
      </c>
      <c r="D9" s="1" t="s">
        <v>122</v>
      </c>
      <c r="E9" s="1" t="s">
        <v>140</v>
      </c>
      <c r="F9" s="1">
        <v>20</v>
      </c>
      <c r="G9" s="5">
        <v>12.2</v>
      </c>
      <c r="H9" s="5">
        <f>Tableau6[Prix]*Tableau6[Nombre]</f>
        <v>244</v>
      </c>
      <c r="I9" s="1" t="s">
        <v>118</v>
      </c>
      <c r="J9" s="44" t="str">
        <f t="array" ref="J9">IFERROR(INDEX(Tableau7[Nombre],MATCH(1,(Tableau6[[#This Row],[Nr .com]]=Tableau7[Nr Bon de Com.])*(Tableau6[[#This Row],[Nr Articel]]=Tableau7[Nr Articel]),0)),"")</f>
        <v/>
      </c>
      <c r="K9" s="44" t="str">
        <f t="array" ref="K9">IFERROR(IF(Tableau6[[#This Row],[Contrôle]]=Tableau6[[#This Row],[Nombre]],"Close","Open"),"")</f>
        <v>Open</v>
      </c>
    </row>
    <row r="10" spans="2:11" x14ac:dyDescent="0.25">
      <c r="B10" s="1" t="s">
        <v>149</v>
      </c>
      <c r="C10" s="11">
        <v>43825.446400462963</v>
      </c>
      <c r="D10" s="1" t="s">
        <v>129</v>
      </c>
      <c r="E10" s="1" t="s">
        <v>144</v>
      </c>
      <c r="F10" s="1">
        <v>2</v>
      </c>
      <c r="G10" s="5">
        <v>1.1000000000000001</v>
      </c>
      <c r="H10" s="5">
        <f>Tableau6[Prix]*Tableau6[Nombre]</f>
        <v>2.2000000000000002</v>
      </c>
      <c r="I10" s="1" t="s">
        <v>118</v>
      </c>
      <c r="J10" s="44">
        <f t="array" ref="J10">IFERROR(INDEX(Tableau7[Nombre],MATCH(1,(Tableau6[[#This Row],[Nr .com]]=Tableau7[Nr Bon de Com.])*(Tableau6[[#This Row],[Nr Articel]]=Tableau7[Nr Articel]),0)),"")</f>
        <v>2</v>
      </c>
      <c r="K10" s="44" t="str">
        <f t="array" ref="K10">IFERROR(IF(Tableau6[[#This Row],[Contrôle]]=Tableau6[[#This Row],[Nombre]],"Close","Open"),"")</f>
        <v>Close</v>
      </c>
    </row>
    <row r="11" spans="2:11" x14ac:dyDescent="0.25">
      <c r="B11" s="1" t="s">
        <v>153</v>
      </c>
      <c r="C11" s="11">
        <v>44023.513055555559</v>
      </c>
      <c r="D11" s="1" t="s">
        <v>150</v>
      </c>
      <c r="E11" s="1" t="s">
        <v>151</v>
      </c>
      <c r="F11" s="1">
        <v>2</v>
      </c>
      <c r="G11" s="5">
        <v>5.2</v>
      </c>
      <c r="H11" s="5">
        <f>Tableau6[Prix]*Tableau6[Nombre]</f>
        <v>10.4</v>
      </c>
      <c r="I11" s="1" t="s">
        <v>118</v>
      </c>
      <c r="J11" s="44">
        <f t="array" ref="J11">IFERROR(INDEX(Tableau7[Nombre],MATCH(1,(Tableau6[[#This Row],[Nr .com]]=Tableau7[Nr Bon de Com.])*(Tableau6[[#This Row],[Nr Articel]]=Tableau7[Nr Articel]),0)),"")</f>
        <v>2</v>
      </c>
      <c r="K11" s="44" t="str">
        <f t="array" ref="K11">IFERROR(IF(Tableau6[[#This Row],[Contrôle]]=Tableau6[[#This Row],[Nombre]],"Close","Open"),"")</f>
        <v>Close</v>
      </c>
    </row>
    <row r="12" spans="2:11" x14ac:dyDescent="0.25">
      <c r="B12" s="1" t="s">
        <v>153</v>
      </c>
      <c r="C12" s="11">
        <v>44023.516770833332</v>
      </c>
      <c r="D12" s="1" t="s">
        <v>150</v>
      </c>
      <c r="E12" s="1" t="s">
        <v>151</v>
      </c>
      <c r="F12" s="1">
        <v>4</v>
      </c>
      <c r="G12" s="5">
        <v>5.2</v>
      </c>
      <c r="H12" s="5">
        <f>Tableau6[Prix]*Tableau6[Nombre]</f>
        <v>20.8</v>
      </c>
      <c r="I12" s="1" t="s">
        <v>99</v>
      </c>
      <c r="J12" s="44">
        <f t="array" ref="J12">IFERROR(INDEX(Tableau7[Nombre],MATCH(1,(Tableau6[[#This Row],[Nr .com]]=Tableau7[Nr Bon de Com.])*(Tableau6[[#This Row],[Nr Articel]]=Tableau7[Nr Articel]),0)),"")</f>
        <v>2</v>
      </c>
      <c r="K12" s="44" t="str">
        <f t="array" ref="K12">IFERROR(IF(Tableau6[[#This Row],[Contrôle]]=Tableau6[[#This Row],[Nombre]],"Close","Open"),"")</f>
        <v>Open</v>
      </c>
    </row>
    <row r="13" spans="2:11" x14ac:dyDescent="0.25">
      <c r="B13" s="1" t="s">
        <v>153</v>
      </c>
      <c r="C13" s="11">
        <v>44023.516770833332</v>
      </c>
      <c r="D13" s="1" t="s">
        <v>122</v>
      </c>
      <c r="E13" s="1" t="s">
        <v>140</v>
      </c>
      <c r="F13" s="1">
        <v>1</v>
      </c>
      <c r="G13" s="5">
        <v>12.2</v>
      </c>
      <c r="H13" s="5">
        <f>Tableau6[Prix]*Tableau6[Nombre]</f>
        <v>12.2</v>
      </c>
      <c r="I13" s="1" t="s">
        <v>99</v>
      </c>
      <c r="J13" s="44">
        <f t="array" ref="J13">IFERROR(INDEX(Tableau7[Nombre],MATCH(1,(Tableau6[[#This Row],[Nr .com]]=Tableau7[Nr Bon de Com.])*(Tableau6[[#This Row],[Nr Articel]]=Tableau7[Nr Articel]),0)),"")</f>
        <v>1</v>
      </c>
      <c r="K13" s="44" t="str">
        <f t="array" ref="K13">IFERROR(IF(Tableau6[[#This Row],[Contrôle]]=Tableau6[[#This Row],[Nombre]],"Close","Open"),"")</f>
        <v>Close</v>
      </c>
    </row>
    <row r="14" spans="2:11" x14ac:dyDescent="0.25">
      <c r="B14" s="1" t="s">
        <v>160</v>
      </c>
      <c r="C14" s="11">
        <v>44491.786076388889</v>
      </c>
      <c r="D14" s="1" t="s">
        <v>157</v>
      </c>
      <c r="E14" s="1" t="s">
        <v>158</v>
      </c>
      <c r="F14" s="1">
        <v>10</v>
      </c>
      <c r="G14" s="5">
        <v>23</v>
      </c>
      <c r="H14" s="5">
        <f>Tableau6[Prix]*Tableau6[Nombre]</f>
        <v>230</v>
      </c>
      <c r="I14" s="1" t="s">
        <v>118</v>
      </c>
      <c r="J14" s="44" t="str">
        <f t="array" ref="J14">IFERROR(INDEX(Tableau7[Nombre],MATCH(1,(Tableau6[[#This Row],[Nr .com]]=Tableau7[Nr Bon de Com.])*(Tableau6[[#This Row],[Nr Articel]]=Tableau7[Nr Articel]),0)),"")</f>
        <v/>
      </c>
      <c r="K14" s="44" t="str">
        <f t="array" ref="K14">IFERROR(IF(Tableau6[[#This Row],[Contrôle]]=Tableau6[[#This Row],[Nombre]],"Close","Open"),"")</f>
        <v>Open</v>
      </c>
    </row>
    <row r="15" spans="2:11" x14ac:dyDescent="0.25">
      <c r="H15" s="5"/>
    </row>
  </sheetData>
  <conditionalFormatting sqref="B6:K14">
    <cfRule type="expression" dxfId="1" priority="1">
      <formula>$K6="Close"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1</xdr:col>
                <xdr:colOff>0</xdr:colOff>
                <xdr:row>2</xdr:row>
                <xdr:rowOff>76200</xdr:rowOff>
              </from>
              <to>
                <xdr:col>2</xdr:col>
                <xdr:colOff>19050</xdr:colOff>
                <xdr:row>3</xdr:row>
                <xdr:rowOff>180975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B1:G51"/>
  <sheetViews>
    <sheetView showGridLines="0" showRowColHeaders="0" workbookViewId="0">
      <selection activeCell="G48" sqref="G48"/>
    </sheetView>
  </sheetViews>
  <sheetFormatPr baseColWidth="10" defaultRowHeight="15" x14ac:dyDescent="0.25"/>
  <cols>
    <col min="1" max="1" width="11.42578125" style="18"/>
    <col min="2" max="2" width="11.42578125" style="18" customWidth="1"/>
    <col min="3" max="3" width="14.85546875" style="18" customWidth="1"/>
    <col min="4" max="4" width="15.7109375" style="1" customWidth="1"/>
    <col min="5" max="5" width="11.42578125" style="1"/>
    <col min="6" max="6" width="11.42578125" style="18"/>
    <col min="7" max="7" width="19.28515625" style="18" customWidth="1"/>
    <col min="8" max="16384" width="11.42578125" style="18"/>
  </cols>
  <sheetData>
    <row r="1" spans="2:7" ht="36" customHeight="1" x14ac:dyDescent="0.25"/>
    <row r="7" spans="2:7" x14ac:dyDescent="0.25">
      <c r="B7" s="53" t="s">
        <v>17</v>
      </c>
      <c r="C7" s="53"/>
      <c r="E7" s="54" t="s">
        <v>38</v>
      </c>
      <c r="F7" s="55"/>
      <c r="G7" s="55"/>
    </row>
    <row r="8" spans="2:7" x14ac:dyDescent="0.25">
      <c r="B8" s="53"/>
      <c r="C8" s="53"/>
      <c r="E8" s="55"/>
      <c r="F8" s="55"/>
      <c r="G8" s="55"/>
    </row>
    <row r="10" spans="2:7" x14ac:dyDescent="0.25">
      <c r="E10" s="32"/>
    </row>
    <row r="11" spans="2:7" ht="16.5" thickBot="1" x14ac:dyDescent="0.3">
      <c r="B11" s="22" t="s">
        <v>30</v>
      </c>
      <c r="C11" s="33" t="s">
        <v>160</v>
      </c>
      <c r="F11" s="22" t="s">
        <v>39</v>
      </c>
      <c r="G11" s="31">
        <f>IFERROR(INDEX(Tableau6[Date],MATCH('Pgae Com.'!C11,Tableau6[Nr .com],0)),"")</f>
        <v>44491.786076388889</v>
      </c>
    </row>
    <row r="12" spans="2:7" x14ac:dyDescent="0.25">
      <c r="B12" s="56"/>
      <c r="C12" s="56"/>
      <c r="D12" s="56"/>
    </row>
    <row r="13" spans="2:7" x14ac:dyDescent="0.25">
      <c r="B13" s="56"/>
      <c r="C13" s="56"/>
      <c r="D13" s="56"/>
    </row>
    <row r="15" spans="2:7" ht="18.75" thickBot="1" x14ac:dyDescent="0.3">
      <c r="B15" s="23" t="s">
        <v>44</v>
      </c>
      <c r="C15" s="23"/>
      <c r="F15" s="23" t="s">
        <v>43</v>
      </c>
      <c r="G15" s="23"/>
    </row>
    <row r="16" spans="2:7" ht="15.75" x14ac:dyDescent="0.25">
      <c r="B16" s="30" t="s">
        <v>19</v>
      </c>
      <c r="C16" s="18" t="str">
        <f>Config!C26</f>
        <v>Sans Nom</v>
      </c>
      <c r="F16" s="30" t="s">
        <v>19</v>
      </c>
      <c r="G16" s="18" t="str">
        <f>IFERROR(INDEX(Tableau6[Fournisseur],MATCH('Pgae Com.'!C11,Tableau6[Nr .com],0)),"")</f>
        <v>Kadi</v>
      </c>
    </row>
    <row r="17" spans="2:7" ht="15.75" x14ac:dyDescent="0.25">
      <c r="B17" s="30" t="s">
        <v>40</v>
      </c>
      <c r="C17" s="18" t="str">
        <f>Config!C27</f>
        <v>2e Rue</v>
      </c>
      <c r="F17" s="30" t="s">
        <v>40</v>
      </c>
      <c r="G17" s="18" t="str">
        <f>IFERROR(INDEX(Tableau2[Adresse],MATCH('Pgae Com.'!G16,Tableau2[Nom],0)),"")</f>
        <v>Dekon</v>
      </c>
    </row>
    <row r="18" spans="2:7" ht="15.75" x14ac:dyDescent="0.25">
      <c r="B18" s="30" t="s">
        <v>41</v>
      </c>
      <c r="C18" s="18" t="str">
        <f>CONCATENATE(LEFT(Config!C30,2),"-",Config!C28," ",Config!C29)</f>
        <v>To-100 Lomé</v>
      </c>
      <c r="F18" s="30" t="s">
        <v>41</v>
      </c>
      <c r="G18" s="18" t="str">
        <f>IFERROR(INDEX(Tableau2[Groupe],MATCH('Pgae Com.'!G16,Tableau2[Nom],0)),"")</f>
        <v>To-19 Lomé</v>
      </c>
    </row>
    <row r="19" spans="2:7" ht="15.75" x14ac:dyDescent="0.25">
      <c r="B19" s="30" t="s">
        <v>42</v>
      </c>
      <c r="C19" s="19" t="str">
        <f>Config!C31</f>
        <v>002280000</v>
      </c>
      <c r="F19" s="30" t="s">
        <v>42</v>
      </c>
      <c r="G19" s="19" t="str">
        <f>IFERROR(INDEX(Tableau2[Téléphone],MATCH('Pgae Com.'!G16,Tableau2[Nom],0)),"")</f>
        <v>00228 9809090</v>
      </c>
    </row>
    <row r="20" spans="2:7" ht="15.75" x14ac:dyDescent="0.25">
      <c r="B20" s="30" t="s">
        <v>21</v>
      </c>
      <c r="C20" s="18" t="str">
        <f>Config!C32</f>
        <v>Lomé@gmail.com</v>
      </c>
      <c r="F20" s="30" t="s">
        <v>21</v>
      </c>
      <c r="G20" s="18" t="str">
        <f>IFERROR(INDEX(Tableau2[Mail],MATCH('Pgae Com.'!G16,Tableau2[Nom],0)),"")</f>
        <v>Kadi@gmail.com</v>
      </c>
    </row>
    <row r="21" spans="2:7" ht="15.75" x14ac:dyDescent="0.25">
      <c r="B21" s="24"/>
    </row>
    <row r="22" spans="2:7" x14ac:dyDescent="0.25">
      <c r="B22" s="27" t="s">
        <v>45</v>
      </c>
      <c r="C22" s="27" t="s">
        <v>46</v>
      </c>
      <c r="D22" s="27" t="s">
        <v>19</v>
      </c>
      <c r="E22" s="27" t="s">
        <v>34</v>
      </c>
      <c r="F22" s="27" t="s">
        <v>18</v>
      </c>
      <c r="G22" s="27" t="s">
        <v>47</v>
      </c>
    </row>
    <row r="23" spans="2:7" x14ac:dyDescent="0.25">
      <c r="B23" s="26">
        <f t="shared" ref="B23:B32" si="0">IF(C23&lt;&gt;"",ROW()-22,"")</f>
        <v>1</v>
      </c>
      <c r="C23" s="26" t="str">
        <f t="array" ref="C23">IFERROR(INDEX(Tableau6[Nr Articel],SMALL(IF(Tableau6[Nr .com]='Pgae Com.'!$C$11,ROW(Tableau6[Nr Articel])-5),ROW()-22)),"")</f>
        <v>ART-0005</v>
      </c>
      <c r="D23" s="26" t="str">
        <f t="array" ref="D23">IFERROR(INDEX(Tableau6[Nom],SMALL(IF(Tableau6[Nr .com]='Pgae Com.'!$C$11,ROW(Tableau6[Nr Articel])-5),ROW()-22)),"")</f>
        <v>xsdfghjkl</v>
      </c>
      <c r="E23" s="26">
        <f t="array" ref="E23">IFERROR(INDEX(Tableau6[Nombre],SMALL(IF(Tableau6[Nr .com]='Pgae Com.'!$C$11,ROW(Tableau6[Nr Articel])-5),ROW()-22)),"")</f>
        <v>10</v>
      </c>
      <c r="F23" s="26">
        <f t="array" ref="F23">IFERROR(INDEX(Tableau6[Prix],SMALL(IF(Tableau6[Nr .com]='Pgae Com.'!$C$11,ROW(Tableau6[Nr Articel])-5),ROW()-22)),"")</f>
        <v>23</v>
      </c>
      <c r="G23" s="26">
        <f t="shared" ref="G23:G32" si="1">IFERROR(F23*E23,"")</f>
        <v>230</v>
      </c>
    </row>
    <row r="24" spans="2:7" x14ac:dyDescent="0.25">
      <c r="B24" s="26" t="str">
        <f t="shared" si="0"/>
        <v/>
      </c>
      <c r="C24" s="26" t="str">
        <f t="array" ref="C24">IFERROR(INDEX(Tableau6[Nr Articel],SMALL(IF(Tableau6[Nr .com]='Pgae Com.'!$C$11,ROW(Tableau6[Nr Articel])-5),ROW()-22)),"")</f>
        <v/>
      </c>
      <c r="D24" s="26" t="str">
        <f t="array" ref="D24">IFERROR(INDEX(Tableau6[Nom],SMALL(IF(Tableau6[Nr .com]='Pgae Com.'!$C$11,ROW(Tableau6[Nr Articel])-5),ROW()-22)),"")</f>
        <v/>
      </c>
      <c r="E24" s="26" t="str">
        <f t="array" ref="E24">IFERROR(INDEX(Tableau6[Nombre],SMALL(IF(Tableau6[Nr .com]='Pgae Com.'!$C$11,ROW(Tableau6[Nr Articel])-5),ROW()-22)),"")</f>
        <v/>
      </c>
      <c r="F24" s="26" t="str">
        <f t="array" ref="F24">IFERROR(INDEX(Tableau6[Prix],SMALL(IF(Tableau6[Nr .com]='Pgae Com.'!$C$11,ROW(Tableau6[Nr Articel])-5),ROW()-22)),"")</f>
        <v/>
      </c>
      <c r="G24" s="26" t="str">
        <f t="shared" si="1"/>
        <v/>
      </c>
    </row>
    <row r="25" spans="2:7" x14ac:dyDescent="0.25">
      <c r="B25" s="20" t="str">
        <f t="shared" si="0"/>
        <v/>
      </c>
      <c r="C25" s="20" t="str">
        <f t="array" ref="C25">IFERROR(INDEX(Tableau6[Nr Articel],SMALL(IF(Tableau6[Nr .com]='Pgae Com.'!$C$11,ROW(Tableau6[Nr Articel])-5),ROW()-22)),"")</f>
        <v/>
      </c>
      <c r="D25" s="20" t="str">
        <f t="array" ref="D25">IFERROR(INDEX(Tableau6[Nom],SMALL(IF(Tableau6[Nr .com]='Pgae Com.'!$C$11,ROW(Tableau6[Nr Articel])-5),ROW()-22)),"")</f>
        <v/>
      </c>
      <c r="E25" s="20" t="str">
        <f t="array" ref="E25">IFERROR(INDEX(Tableau6[Nombre],SMALL(IF(Tableau6[Nr .com]='Pgae Com.'!$C$11,ROW(Tableau6[Nr Articel])-5),ROW()-22)),"")</f>
        <v/>
      </c>
      <c r="F25" s="20" t="str">
        <f t="array" ref="F25">IFERROR(INDEX(Tableau6[Prix],SMALL(IF(Tableau6[Nr .com]='Pgae Com.'!$C$11,ROW(Tableau6[Nr Articel])-5),ROW()-22)),"")</f>
        <v/>
      </c>
      <c r="G25" s="20" t="str">
        <f t="shared" si="1"/>
        <v/>
      </c>
    </row>
    <row r="26" spans="2:7" x14ac:dyDescent="0.25">
      <c r="B26" s="20" t="str">
        <f t="shared" si="0"/>
        <v/>
      </c>
      <c r="C26" s="20" t="str">
        <f t="array" ref="C26">IFERROR(INDEX(Tableau6[Nr Articel],SMALL(IF(Tableau6[Nr .com]='Pgae Com.'!$C$11,ROW(Tableau6[Nr Articel])-5),ROW()-22)),"")</f>
        <v/>
      </c>
      <c r="D26" s="20" t="str">
        <f t="array" ref="D26">IFERROR(INDEX(Tableau6[Nom],SMALL(IF(Tableau6[Nr .com]='Pgae Com.'!$C$11,ROW(Tableau6[Nr Articel])-5),ROW()-22)),"")</f>
        <v/>
      </c>
      <c r="E26" s="20" t="str">
        <f t="array" ref="E26">IFERROR(INDEX(Tableau6[Nombre],SMALL(IF(Tableau6[Nr .com]='Pgae Com.'!$C$11,ROW(Tableau6[Nr Articel])-5),ROW()-22)),"")</f>
        <v/>
      </c>
      <c r="F26" s="20" t="str">
        <f t="array" ref="F26">IFERROR(INDEX(Tableau6[Prix],SMALL(IF(Tableau6[Nr .com]='Pgae Com.'!$C$11,ROW(Tableau6[Nr Articel])-5),ROW()-22)),"")</f>
        <v/>
      </c>
      <c r="G26" s="20" t="str">
        <f t="shared" si="1"/>
        <v/>
      </c>
    </row>
    <row r="27" spans="2:7" x14ac:dyDescent="0.25">
      <c r="B27" s="20" t="str">
        <f t="shared" si="0"/>
        <v/>
      </c>
      <c r="C27" s="20" t="str">
        <f t="array" ref="C27">IFERROR(INDEX(Tableau6[Nr Articel],SMALL(IF(Tableau6[Nr .com]='Pgae Com.'!$C$11,ROW(Tableau6[Nr Articel])-5),ROW()-22)),"")</f>
        <v/>
      </c>
      <c r="D27" s="20" t="str">
        <f t="array" ref="D27">IFERROR(INDEX(Tableau6[Nom],SMALL(IF(Tableau6[Nr .com]='Pgae Com.'!$C$11,ROW(Tableau6[Nr Articel])-5),ROW()-22)),"")</f>
        <v/>
      </c>
      <c r="E27" s="20" t="str">
        <f t="array" ref="E27">IFERROR(INDEX(Tableau6[Nombre],SMALL(IF(Tableau6[Nr .com]='Pgae Com.'!$C$11,ROW(Tableau6[Nr Articel])-5),ROW()-22)),"")</f>
        <v/>
      </c>
      <c r="F27" s="20" t="str">
        <f t="array" ref="F27">IFERROR(INDEX(Tableau6[Prix],SMALL(IF(Tableau6[Nr .com]='Pgae Com.'!$C$11,ROW(Tableau6[Nr Articel])-5),ROW()-22)),"")</f>
        <v/>
      </c>
      <c r="G27" s="20" t="str">
        <f t="shared" si="1"/>
        <v/>
      </c>
    </row>
    <row r="28" spans="2:7" x14ac:dyDescent="0.25">
      <c r="B28" s="20" t="str">
        <f t="shared" si="0"/>
        <v/>
      </c>
      <c r="C28" s="20" t="str">
        <f t="array" ref="C28">IFERROR(INDEX(Tableau6[Nr Articel],SMALL(IF(Tableau6[Nr .com]='Pgae Com.'!$C$11,ROW(Tableau6[Nr Articel])-5),ROW()-22)),"")</f>
        <v/>
      </c>
      <c r="D28" s="20" t="str">
        <f t="array" ref="D28">IFERROR(INDEX(Tableau6[Nom],SMALL(IF(Tableau6[Nr .com]='Pgae Com.'!$C$11,ROW(Tableau6[Nr Articel])-5),ROW()-22)),"")</f>
        <v/>
      </c>
      <c r="E28" s="20" t="str">
        <f t="array" ref="E28">IFERROR(INDEX(Tableau6[Nombre],SMALL(IF(Tableau6[Nr .com]='Pgae Com.'!$C$11,ROW(Tableau6[Nr Articel])-5),ROW()-22)),"")</f>
        <v/>
      </c>
      <c r="F28" s="20" t="str">
        <f t="array" ref="F28">IFERROR(INDEX(Tableau6[Prix],SMALL(IF(Tableau6[Nr .com]='Pgae Com.'!$C$11,ROW(Tableau6[Nr Articel])-5),ROW()-22)),"")</f>
        <v/>
      </c>
      <c r="G28" s="20" t="str">
        <f t="shared" si="1"/>
        <v/>
      </c>
    </row>
    <row r="29" spans="2:7" x14ac:dyDescent="0.25">
      <c r="B29" s="20" t="str">
        <f t="shared" si="0"/>
        <v/>
      </c>
      <c r="C29" s="20" t="str">
        <f t="array" ref="C29">IFERROR(INDEX(Tableau6[Nr Articel],SMALL(IF(Tableau6[Nr .com]='Pgae Com.'!$C$11,ROW(Tableau6[Nr Articel])-5),ROW()-22)),"")</f>
        <v/>
      </c>
      <c r="D29" s="20" t="str">
        <f t="array" ref="D29">IFERROR(INDEX(Tableau6[Nom],SMALL(IF(Tableau6[Nr .com]='Pgae Com.'!$C$11,ROW(Tableau6[Nr Articel])-5),ROW()-22)),"")</f>
        <v/>
      </c>
      <c r="E29" s="20" t="str">
        <f t="array" ref="E29">IFERROR(INDEX(Tableau6[Nombre],SMALL(IF(Tableau6[Nr .com]='Pgae Com.'!$C$11,ROW(Tableau6[Nr Articel])-5),ROW()-22)),"")</f>
        <v/>
      </c>
      <c r="F29" s="20" t="str">
        <f t="array" ref="F29">IFERROR(INDEX(Tableau6[Prix],SMALL(IF(Tableau6[Nr .com]='Pgae Com.'!$C$11,ROW(Tableau6[Nr Articel])-5),ROW()-22)),"")</f>
        <v/>
      </c>
      <c r="G29" s="20" t="str">
        <f t="shared" si="1"/>
        <v/>
      </c>
    </row>
    <row r="30" spans="2:7" x14ac:dyDescent="0.25">
      <c r="B30" s="20" t="str">
        <f t="shared" si="0"/>
        <v/>
      </c>
      <c r="C30" s="20" t="str">
        <f t="array" ref="C30">IFERROR(INDEX(Tableau6[Nr Articel],SMALL(IF(Tableau6[Nr .com]='Pgae Com.'!$C$11,ROW(Tableau6[Nr Articel])-5),ROW()-22)),"")</f>
        <v/>
      </c>
      <c r="D30" s="20" t="str">
        <f t="array" ref="D30">IFERROR(INDEX(Tableau6[Nom],SMALL(IF(Tableau6[Nr .com]='Pgae Com.'!$C$11,ROW(Tableau6[Nr Articel])-5),ROW()-22)),"")</f>
        <v/>
      </c>
      <c r="E30" s="20" t="str">
        <f t="array" ref="E30">IFERROR(INDEX(Tableau6[Nombre],SMALL(IF(Tableau6[Nr .com]='Pgae Com.'!$C$11,ROW(Tableau6[Nr Articel])-5),ROW()-22)),"")</f>
        <v/>
      </c>
      <c r="F30" s="20" t="str">
        <f t="array" ref="F30">IFERROR(INDEX(Tableau6[Prix],SMALL(IF(Tableau6[Nr .com]='Pgae Com.'!$C$11,ROW(Tableau6[Nr Articel])-5),ROW()-22)),"")</f>
        <v/>
      </c>
      <c r="G30" s="20" t="str">
        <f t="shared" si="1"/>
        <v/>
      </c>
    </row>
    <row r="31" spans="2:7" x14ac:dyDescent="0.25">
      <c r="B31" s="20" t="str">
        <f t="shared" si="0"/>
        <v/>
      </c>
      <c r="C31" s="20" t="str">
        <f t="array" ref="C31">IFERROR(INDEX(Tableau6[Nr Articel],SMALL(IF(Tableau6[Nr .com]='Pgae Com.'!$C$11,ROW(Tableau6[Nr Articel])-5),ROW()-22)),"")</f>
        <v/>
      </c>
      <c r="D31" s="20" t="str">
        <f t="array" ref="D31">IFERROR(INDEX(Tableau6[Nom],SMALL(IF(Tableau6[Nr .com]='Pgae Com.'!$C$11,ROW(Tableau6[Nr Articel])-5),ROW()-22)),"")</f>
        <v/>
      </c>
      <c r="E31" s="20" t="str">
        <f t="array" ref="E31">IFERROR(INDEX(Tableau6[Nombre],SMALL(IF(Tableau6[Nr .com]='Pgae Com.'!$C$11,ROW(Tableau6[Nr Articel])-5),ROW()-22)),"")</f>
        <v/>
      </c>
      <c r="F31" s="20" t="str">
        <f t="array" ref="F31">IFERROR(INDEX(Tableau6[Prix],SMALL(IF(Tableau6[Nr .com]='Pgae Com.'!$C$11,ROW(Tableau6[Nr Articel])-5),ROW()-22)),"")</f>
        <v/>
      </c>
      <c r="G31" s="20" t="str">
        <f t="shared" si="1"/>
        <v/>
      </c>
    </row>
    <row r="32" spans="2:7" x14ac:dyDescent="0.25">
      <c r="B32" s="20" t="str">
        <f t="shared" si="0"/>
        <v/>
      </c>
      <c r="C32" s="20" t="str">
        <f t="array" ref="C32">IFERROR(INDEX(Tableau6[Nr Articel],SMALL(IF(Tableau6[Nr .com]='Pgae Com.'!$C$11,ROW(Tableau6[Nr Articel])-5),ROW()-22)),"")</f>
        <v/>
      </c>
      <c r="D32" s="20" t="str">
        <f t="array" ref="D32">IFERROR(INDEX(Tableau6[Nom],SMALL(IF(Tableau6[Nr .com]='Pgae Com.'!$C$11,ROW(Tableau6[Nr Articel])-5),ROW()-22)),"")</f>
        <v/>
      </c>
      <c r="E32" s="20" t="str">
        <f t="array" ref="E32">IFERROR(INDEX(Tableau6[Nombre],SMALL(IF(Tableau6[Nr .com]='Pgae Com.'!$C$11,ROW(Tableau6[Nr Articel])-5),ROW()-22)),"")</f>
        <v/>
      </c>
      <c r="F32" s="20" t="str">
        <f t="array" ref="F32">IFERROR(INDEX(Tableau6[Prix],SMALL(IF(Tableau6[Nr .com]='Pgae Com.'!$C$11,ROW(Tableau6[Nr Articel])-5),ROW()-22)),"")</f>
        <v/>
      </c>
      <c r="G32" s="20" t="str">
        <f t="shared" si="1"/>
        <v/>
      </c>
    </row>
    <row r="33" spans="2:7" x14ac:dyDescent="0.25">
      <c r="B33" s="20" t="str">
        <f t="shared" ref="B33:B46" si="2">IF(C33&lt;&gt;"",ROW()-22,"")</f>
        <v/>
      </c>
      <c r="C33" s="20" t="str">
        <f t="array" ref="C33">IFERROR(INDEX(Tableau6[Nr Articel],SMALL(IF(Tableau6[Nr .com]='Pgae Com.'!$C$11,ROW(Tableau6[Nr Articel])-5),ROW()-22)),"")</f>
        <v/>
      </c>
      <c r="D33" s="20" t="str">
        <f t="array" ref="D33">IFERROR(INDEX(Tableau6[Nom],SMALL(IF(Tableau6[Nr .com]='Pgae Com.'!$C$11,ROW(Tableau6[Nr Articel])-5),ROW()-22)),"")</f>
        <v/>
      </c>
      <c r="E33" s="20" t="str">
        <f t="array" ref="E33">IFERROR(INDEX(Tableau6[Nombre],SMALL(IF(Tableau6[Nr .com]='Pgae Com.'!$C$11,ROW(Tableau6[Nr Articel])-5),ROW()-22)),"")</f>
        <v/>
      </c>
      <c r="F33" s="20" t="str">
        <f t="array" ref="F33">IFERROR(INDEX(Tableau6[Prix],SMALL(IF(Tableau6[Nr .com]='Pgae Com.'!$C$11,ROW(Tableau6[Nr Articel])-5),ROW()-22)),"")</f>
        <v/>
      </c>
      <c r="G33" s="20" t="str">
        <f t="shared" ref="G33:G46" si="3">IFERROR(F33*E33,"")</f>
        <v/>
      </c>
    </row>
    <row r="34" spans="2:7" x14ac:dyDescent="0.25">
      <c r="B34" s="20" t="str">
        <f t="shared" si="2"/>
        <v/>
      </c>
      <c r="C34" s="20" t="str">
        <f t="array" ref="C34">IFERROR(INDEX(Tableau6[Nr Articel],SMALL(IF(Tableau6[Nr .com]='Pgae Com.'!$C$11,ROW(Tableau6[Nr Articel])-5),ROW()-22)),"")</f>
        <v/>
      </c>
      <c r="D34" s="20" t="str">
        <f t="array" ref="D34">IFERROR(INDEX(Tableau6[Nom],SMALL(IF(Tableau6[Nr .com]='Pgae Com.'!$C$11,ROW(Tableau6[Nr Articel])-5),ROW()-22)),"")</f>
        <v/>
      </c>
      <c r="E34" s="20" t="str">
        <f t="array" ref="E34">IFERROR(INDEX(Tableau6[Nombre],SMALL(IF(Tableau6[Nr .com]='Pgae Com.'!$C$11,ROW(Tableau6[Nr Articel])-5),ROW()-22)),"")</f>
        <v/>
      </c>
      <c r="F34" s="20" t="str">
        <f t="array" ref="F34">IFERROR(INDEX(Tableau6[Prix],SMALL(IF(Tableau6[Nr .com]='Pgae Com.'!$C$11,ROW(Tableau6[Nr Articel])-5),ROW()-22)),"")</f>
        <v/>
      </c>
      <c r="G34" s="20" t="str">
        <f t="shared" si="3"/>
        <v/>
      </c>
    </row>
    <row r="35" spans="2:7" x14ac:dyDescent="0.25">
      <c r="B35" s="20" t="str">
        <f t="shared" si="2"/>
        <v/>
      </c>
      <c r="C35" s="20" t="str">
        <f t="array" ref="C35">IFERROR(INDEX(Tableau6[Nr Articel],SMALL(IF(Tableau6[Nr .com]='Pgae Com.'!$C$11,ROW(Tableau6[Nr Articel])-5),ROW()-22)),"")</f>
        <v/>
      </c>
      <c r="D35" s="20" t="str">
        <f t="array" ref="D35">IFERROR(INDEX(Tableau6[Nom],SMALL(IF(Tableau6[Nr .com]='Pgae Com.'!$C$11,ROW(Tableau6[Nr Articel])-5),ROW()-22)),"")</f>
        <v/>
      </c>
      <c r="E35" s="20" t="str">
        <f t="array" ref="E35">IFERROR(INDEX(Tableau6[Nombre],SMALL(IF(Tableau6[Nr .com]='Pgae Com.'!$C$11,ROW(Tableau6[Nr Articel])-5),ROW()-22)),"")</f>
        <v/>
      </c>
      <c r="F35" s="20" t="str">
        <f t="array" ref="F35">IFERROR(INDEX(Tableau6[Prix],SMALL(IF(Tableau6[Nr .com]='Pgae Com.'!$C$11,ROW(Tableau6[Nr Articel])-5),ROW()-22)),"")</f>
        <v/>
      </c>
      <c r="G35" s="20" t="str">
        <f t="shared" si="3"/>
        <v/>
      </c>
    </row>
    <row r="36" spans="2:7" x14ac:dyDescent="0.25">
      <c r="B36" s="20" t="str">
        <f t="shared" si="2"/>
        <v/>
      </c>
      <c r="C36" s="20" t="str">
        <f t="array" ref="C36">IFERROR(INDEX(Tableau6[Nr Articel],SMALL(IF(Tableau6[Nr .com]='Pgae Com.'!$C$11,ROW(Tableau6[Nr Articel])-5),ROW()-22)),"")</f>
        <v/>
      </c>
      <c r="D36" s="20" t="str">
        <f t="array" ref="D36">IFERROR(INDEX(Tableau6[Nom],SMALL(IF(Tableau6[Nr .com]='Pgae Com.'!$C$11,ROW(Tableau6[Nr Articel])-5),ROW()-22)),"")</f>
        <v/>
      </c>
      <c r="E36" s="20" t="str">
        <f t="array" ref="E36">IFERROR(INDEX(Tableau6[Nombre],SMALL(IF(Tableau6[Nr .com]='Pgae Com.'!$C$11,ROW(Tableau6[Nr Articel])-5),ROW()-22)),"")</f>
        <v/>
      </c>
      <c r="F36" s="20" t="str">
        <f t="array" ref="F36">IFERROR(INDEX(Tableau6[Prix],SMALL(IF(Tableau6[Nr .com]='Pgae Com.'!$C$11,ROW(Tableau6[Nr Articel])-5),ROW()-22)),"")</f>
        <v/>
      </c>
      <c r="G36" s="20" t="str">
        <f t="shared" si="3"/>
        <v/>
      </c>
    </row>
    <row r="37" spans="2:7" x14ac:dyDescent="0.25">
      <c r="B37" s="20" t="str">
        <f t="shared" si="2"/>
        <v/>
      </c>
      <c r="C37" s="20" t="str">
        <f t="array" ref="C37">IFERROR(INDEX(Tableau6[Nr Articel],SMALL(IF(Tableau6[Nr .com]='Pgae Com.'!$C$11,ROW(Tableau6[Nr Articel])-5),ROW()-22)),"")</f>
        <v/>
      </c>
      <c r="D37" s="20" t="str">
        <f t="array" ref="D37">IFERROR(INDEX(Tableau6[Nom],SMALL(IF(Tableau6[Nr .com]='Pgae Com.'!$C$11,ROW(Tableau6[Nr Articel])-5),ROW()-22)),"")</f>
        <v/>
      </c>
      <c r="E37" s="20" t="str">
        <f t="array" ref="E37">IFERROR(INDEX(Tableau6[Nombre],SMALL(IF(Tableau6[Nr .com]='Pgae Com.'!$C$11,ROW(Tableau6[Nr Articel])-5),ROW()-22)),"")</f>
        <v/>
      </c>
      <c r="F37" s="20" t="str">
        <f t="array" ref="F37">IFERROR(INDEX(Tableau6[Prix],SMALL(IF(Tableau6[Nr .com]='Pgae Com.'!$C$11,ROW(Tableau6[Nr Articel])-5),ROW()-22)),"")</f>
        <v/>
      </c>
      <c r="G37" s="20" t="str">
        <f t="shared" si="3"/>
        <v/>
      </c>
    </row>
    <row r="38" spans="2:7" x14ac:dyDescent="0.25">
      <c r="B38" s="20" t="str">
        <f t="shared" si="2"/>
        <v/>
      </c>
      <c r="C38" s="20" t="str">
        <f t="array" ref="C38">IFERROR(INDEX(Tableau6[Nr Articel],SMALL(IF(Tableau6[Nr .com]='Pgae Com.'!$C$11,ROW(Tableau6[Nr Articel])-5),ROW()-22)),"")</f>
        <v/>
      </c>
      <c r="D38" s="20" t="str">
        <f t="array" ref="D38">IFERROR(INDEX(Tableau6[Nom],SMALL(IF(Tableau6[Nr .com]='Pgae Com.'!$C$11,ROW(Tableau6[Nr Articel])-5),ROW()-22)),"")</f>
        <v/>
      </c>
      <c r="E38" s="20" t="str">
        <f t="array" ref="E38">IFERROR(INDEX(Tableau6[Nombre],SMALL(IF(Tableau6[Nr .com]='Pgae Com.'!$C$11,ROW(Tableau6[Nr Articel])-5),ROW()-22)),"")</f>
        <v/>
      </c>
      <c r="F38" s="20" t="str">
        <f t="array" ref="F38">IFERROR(INDEX(Tableau6[Prix],SMALL(IF(Tableau6[Nr .com]='Pgae Com.'!$C$11,ROW(Tableau6[Nr Articel])-5),ROW()-22)),"")</f>
        <v/>
      </c>
      <c r="G38" s="20" t="str">
        <f t="shared" si="3"/>
        <v/>
      </c>
    </row>
    <row r="39" spans="2:7" x14ac:dyDescent="0.25">
      <c r="B39" s="20" t="str">
        <f t="shared" si="2"/>
        <v/>
      </c>
      <c r="C39" s="20" t="str">
        <f t="array" ref="C39">IFERROR(INDEX(Tableau6[Nr Articel],SMALL(IF(Tableau6[Nr .com]='Pgae Com.'!$C$11,ROW(Tableau6[Nr Articel])-5),ROW()-22)),"")</f>
        <v/>
      </c>
      <c r="D39" s="20" t="str">
        <f t="array" ref="D39">IFERROR(INDEX(Tableau6[Nom],SMALL(IF(Tableau6[Nr .com]='Pgae Com.'!$C$11,ROW(Tableau6[Nr Articel])-5),ROW()-22)),"")</f>
        <v/>
      </c>
      <c r="E39" s="20" t="str">
        <f t="array" ref="E39">IFERROR(INDEX(Tableau6[Nombre],SMALL(IF(Tableau6[Nr .com]='Pgae Com.'!$C$11,ROW(Tableau6[Nr Articel])-5),ROW()-22)),"")</f>
        <v/>
      </c>
      <c r="F39" s="20" t="str">
        <f t="array" ref="F39">IFERROR(INDEX(Tableau6[Prix],SMALL(IF(Tableau6[Nr .com]='Pgae Com.'!$C$11,ROW(Tableau6[Nr Articel])-5),ROW()-22)),"")</f>
        <v/>
      </c>
      <c r="G39" s="20" t="str">
        <f t="shared" si="3"/>
        <v/>
      </c>
    </row>
    <row r="40" spans="2:7" x14ac:dyDescent="0.25">
      <c r="B40" s="20" t="str">
        <f t="shared" si="2"/>
        <v/>
      </c>
      <c r="C40" s="20" t="str">
        <f t="array" ref="C40">IFERROR(INDEX(Tableau6[Nr Articel],SMALL(IF(Tableau6[Nr .com]='Pgae Com.'!$C$11,ROW(Tableau6[Nr Articel])-5),ROW()-22)),"")</f>
        <v/>
      </c>
      <c r="D40" s="20" t="str">
        <f t="array" ref="D40">IFERROR(INDEX(Tableau6[Nom],SMALL(IF(Tableau6[Nr .com]='Pgae Com.'!$C$11,ROW(Tableau6[Nr Articel])-5),ROW()-22)),"")</f>
        <v/>
      </c>
      <c r="E40" s="20" t="str">
        <f t="array" ref="E40">IFERROR(INDEX(Tableau6[Nombre],SMALL(IF(Tableau6[Nr .com]='Pgae Com.'!$C$11,ROW(Tableau6[Nr Articel])-5),ROW()-22)),"")</f>
        <v/>
      </c>
      <c r="F40" s="20" t="str">
        <f t="array" ref="F40">IFERROR(INDEX(Tableau6[Prix],SMALL(IF(Tableau6[Nr .com]='Pgae Com.'!$C$11,ROW(Tableau6[Nr Articel])-5),ROW()-22)),"")</f>
        <v/>
      </c>
      <c r="G40" s="20" t="str">
        <f t="shared" si="3"/>
        <v/>
      </c>
    </row>
    <row r="41" spans="2:7" x14ac:dyDescent="0.25">
      <c r="B41" s="20" t="str">
        <f t="shared" si="2"/>
        <v/>
      </c>
      <c r="C41" s="20" t="str">
        <f t="array" ref="C41">IFERROR(INDEX(Tableau6[Nr Articel],SMALL(IF(Tableau6[Nr .com]='Pgae Com.'!$C$11,ROW(Tableau6[Nr Articel])-5),ROW()-22)),"")</f>
        <v/>
      </c>
      <c r="D41" s="20" t="str">
        <f t="array" ref="D41">IFERROR(INDEX(Tableau6[Nom],SMALL(IF(Tableau6[Nr .com]='Pgae Com.'!$C$11,ROW(Tableau6[Nr Articel])-5),ROW()-22)),"")</f>
        <v/>
      </c>
      <c r="E41" s="20" t="str">
        <f t="array" ref="E41">IFERROR(INDEX(Tableau6[Nombre],SMALL(IF(Tableau6[Nr .com]='Pgae Com.'!$C$11,ROW(Tableau6[Nr Articel])-5),ROW()-22)),"")</f>
        <v/>
      </c>
      <c r="F41" s="20" t="str">
        <f t="array" ref="F41">IFERROR(INDEX(Tableau6[Prix],SMALL(IF(Tableau6[Nr .com]='Pgae Com.'!$C$11,ROW(Tableau6[Nr Articel])-5),ROW()-22)),"")</f>
        <v/>
      </c>
      <c r="G41" s="20" t="str">
        <f t="shared" si="3"/>
        <v/>
      </c>
    </row>
    <row r="42" spans="2:7" x14ac:dyDescent="0.25">
      <c r="B42" s="20" t="str">
        <f t="shared" si="2"/>
        <v/>
      </c>
      <c r="C42" s="20" t="str">
        <f t="array" ref="C42">IFERROR(INDEX(Tableau6[Nr Articel],SMALL(IF(Tableau6[Nr .com]='Pgae Com.'!$C$11,ROW(Tableau6[Nr Articel])-5),ROW()-22)),"")</f>
        <v/>
      </c>
      <c r="D42" s="20" t="str">
        <f t="array" ref="D42">IFERROR(INDEX(Tableau6[Nom],SMALL(IF(Tableau6[Nr .com]='Pgae Com.'!$C$11,ROW(Tableau6[Nr Articel])-5),ROW()-22)),"")</f>
        <v/>
      </c>
      <c r="E42" s="20" t="str">
        <f t="array" ref="E42">IFERROR(INDEX(Tableau6[Nombre],SMALL(IF(Tableau6[Nr .com]='Pgae Com.'!$C$11,ROW(Tableau6[Nr Articel])-5),ROW()-22)),"")</f>
        <v/>
      </c>
      <c r="F42" s="20" t="str">
        <f t="array" ref="F42">IFERROR(INDEX(Tableau6[Prix],SMALL(IF(Tableau6[Nr .com]='Pgae Com.'!$C$11,ROW(Tableau6[Nr Articel])-5),ROW()-22)),"")</f>
        <v/>
      </c>
      <c r="G42" s="20" t="str">
        <f t="shared" si="3"/>
        <v/>
      </c>
    </row>
    <row r="43" spans="2:7" x14ac:dyDescent="0.25">
      <c r="B43" s="20" t="str">
        <f t="shared" si="2"/>
        <v/>
      </c>
      <c r="C43" s="20" t="str">
        <f t="array" ref="C43">IFERROR(INDEX(Tableau6[Nr Articel],SMALL(IF(Tableau6[Nr .com]='Pgae Com.'!$C$11,ROW(Tableau6[Nr Articel])-5),ROW()-22)),"")</f>
        <v/>
      </c>
      <c r="D43" s="20" t="str">
        <f t="array" ref="D43">IFERROR(INDEX(Tableau6[Nom],SMALL(IF(Tableau6[Nr .com]='Pgae Com.'!$C$11,ROW(Tableau6[Nr Articel])-5),ROW()-22)),"")</f>
        <v/>
      </c>
      <c r="E43" s="20" t="str">
        <f t="array" ref="E43">IFERROR(INDEX(Tableau6[Nombre],SMALL(IF(Tableau6[Nr .com]='Pgae Com.'!$C$11,ROW(Tableau6[Nr Articel])-5),ROW()-22)),"")</f>
        <v/>
      </c>
      <c r="F43" s="20" t="str">
        <f t="array" ref="F43">IFERROR(INDEX(Tableau6[Prix],SMALL(IF(Tableau6[Nr .com]='Pgae Com.'!$C$11,ROW(Tableau6[Nr Articel])-5),ROW()-22)),"")</f>
        <v/>
      </c>
      <c r="G43" s="20" t="str">
        <f t="shared" si="3"/>
        <v/>
      </c>
    </row>
    <row r="44" spans="2:7" x14ac:dyDescent="0.25">
      <c r="B44" s="20" t="str">
        <f t="shared" si="2"/>
        <v/>
      </c>
      <c r="C44" s="20" t="str">
        <f t="array" ref="C44">IFERROR(INDEX(Tableau6[Nr Articel],SMALL(IF(Tableau6[Nr .com]='Pgae Com.'!$C$11,ROW(Tableau6[Nr Articel])-5),ROW()-22)),"")</f>
        <v/>
      </c>
      <c r="D44" s="20" t="str">
        <f t="array" ref="D44">IFERROR(INDEX(Tableau6[Nom],SMALL(IF(Tableau6[Nr .com]='Pgae Com.'!$C$11,ROW(Tableau6[Nr Articel])-5),ROW()-22)),"")</f>
        <v/>
      </c>
      <c r="E44" s="20" t="str">
        <f t="array" ref="E44">IFERROR(INDEX(Tableau6[Nombre],SMALL(IF(Tableau6[Nr .com]='Pgae Com.'!$C$11,ROW(Tableau6[Nr Articel])-5),ROW()-22)),"")</f>
        <v/>
      </c>
      <c r="F44" s="20" t="str">
        <f t="array" ref="F44">IFERROR(INDEX(Tableau6[Prix],SMALL(IF(Tableau6[Nr .com]='Pgae Com.'!$C$11,ROW(Tableau6[Nr Articel])-5),ROW()-22)),"")</f>
        <v/>
      </c>
      <c r="G44" s="20" t="str">
        <f t="shared" si="3"/>
        <v/>
      </c>
    </row>
    <row r="45" spans="2:7" x14ac:dyDescent="0.25">
      <c r="B45" s="20" t="str">
        <f t="shared" si="2"/>
        <v/>
      </c>
      <c r="C45" s="20" t="str">
        <f t="array" ref="C45">IFERROR(INDEX(Tableau6[Nr Articel],SMALL(IF(Tableau6[Nr .com]='Pgae Com.'!$C$11,ROW(Tableau6[Nr Articel])-5),ROW()-22)),"")</f>
        <v/>
      </c>
      <c r="D45" s="20" t="str">
        <f t="array" ref="D45">IFERROR(INDEX(Tableau6[Nom],SMALL(IF(Tableau6[Nr .com]='Pgae Com.'!$C$11,ROW(Tableau6[Nr Articel])-5),ROW()-22)),"")</f>
        <v/>
      </c>
      <c r="E45" s="20" t="str">
        <f t="array" ref="E45">IFERROR(INDEX(Tableau6[Nombre],SMALL(IF(Tableau6[Nr .com]='Pgae Com.'!$C$11,ROW(Tableau6[Nr Articel])-5),ROW()-22)),"")</f>
        <v/>
      </c>
      <c r="F45" s="20" t="str">
        <f t="array" ref="F45">IFERROR(INDEX(Tableau6[Prix],SMALL(IF(Tableau6[Nr .com]='Pgae Com.'!$C$11,ROW(Tableau6[Nr Articel])-5),ROW()-22)),"")</f>
        <v/>
      </c>
      <c r="G45" s="20" t="str">
        <f t="shared" si="3"/>
        <v/>
      </c>
    </row>
    <row r="46" spans="2:7" x14ac:dyDescent="0.25">
      <c r="B46" s="20" t="str">
        <f t="shared" si="2"/>
        <v/>
      </c>
      <c r="C46" s="20" t="str">
        <f t="array" ref="C46">IFERROR(INDEX(Tableau6[Nr Articel],SMALL(IF(Tableau6[Nr .com]='Pgae Com.'!$C$11,ROW(Tableau6[Nr Articel])-5),ROW()-22)),"")</f>
        <v/>
      </c>
      <c r="D46" s="20" t="str">
        <f t="array" ref="D46">IFERROR(INDEX(Tableau6[Nom],SMALL(IF(Tableau6[Nr .com]='Pgae Com.'!$C$11,ROW(Tableau6[Nr Articel])-5),ROW()-22)),"")</f>
        <v/>
      </c>
      <c r="E46" s="20" t="str">
        <f t="array" ref="E46">IFERROR(INDEX(Tableau6[Nombre],SMALL(IF(Tableau6[Nr .com]='Pgae Com.'!$C$11,ROW(Tableau6[Nr Articel])-5),ROW()-22)),"")</f>
        <v/>
      </c>
      <c r="F46" s="20" t="str">
        <f t="array" ref="F46">IFERROR(INDEX(Tableau6[Prix],SMALL(IF(Tableau6[Nr .com]='Pgae Com.'!$C$11,ROW(Tableau6[Nr Articel])-5),ROW()-22)),"")</f>
        <v/>
      </c>
      <c r="G46" s="20" t="str">
        <f t="shared" si="3"/>
        <v/>
      </c>
    </row>
    <row r="47" spans="2:7" x14ac:dyDescent="0.25">
      <c r="B47" s="20" t="str">
        <f>IF(C47&lt;&gt;"",ROW()-22,"")</f>
        <v/>
      </c>
      <c r="C47" s="20" t="str">
        <f t="array" ref="C47">IFERROR(INDEX(Tableau6[Nr Articel],SMALL(IF(Tableau6[Nr .com]='Pgae Com.'!$C$11,ROW(Tableau6[Nr Articel])-5),ROW()-22)),"")</f>
        <v/>
      </c>
      <c r="D47" s="20" t="str">
        <f t="array" ref="D47">IFERROR(INDEX(Tableau6[Nom],SMALL(IF(Tableau6[Nr .com]='Pgae Com.'!$C$11,ROW(Tableau6[Nr Articel])-5),ROW()-22)),"")</f>
        <v/>
      </c>
      <c r="E47" s="20" t="str">
        <f t="array" ref="E47">IFERROR(INDEX(Tableau6[Nombre],SMALL(IF(Tableau6[Nr .com]='Pgae Com.'!$C$11,ROW(Tableau6[Nr Articel])-5),ROW()-22)),"")</f>
        <v/>
      </c>
      <c r="F47" s="20" t="str">
        <f t="array" ref="F47">IFERROR(INDEX(Tableau6[Prix],SMALL(IF(Tableau6[Nr .com]='Pgae Com.'!$C$11,ROW(Tableau6[Nr Articel])-5),ROW()-22)),"")</f>
        <v/>
      </c>
      <c r="G47" s="20" t="str">
        <f>IFERROR(F47*E47,"")</f>
        <v/>
      </c>
    </row>
    <row r="48" spans="2:7" ht="15.75" x14ac:dyDescent="0.25">
      <c r="B48" s="57" t="str">
        <f>Config!C35</f>
        <v>Texte de condition et renseignement</v>
      </c>
      <c r="C48" s="57"/>
      <c r="D48" s="57"/>
      <c r="E48" s="58"/>
      <c r="F48" s="25" t="s">
        <v>47</v>
      </c>
      <c r="G48" s="25">
        <f>IFERROR(SUM(G23:G47),"")</f>
        <v>230</v>
      </c>
    </row>
    <row r="49" spans="2:7" ht="15.75" x14ac:dyDescent="0.25">
      <c r="B49" s="59"/>
      <c r="C49" s="59"/>
      <c r="D49" s="59"/>
      <c r="E49" s="60"/>
      <c r="F49" s="25" t="s">
        <v>48</v>
      </c>
      <c r="G49" s="25">
        <f>G48*0.21</f>
        <v>48.3</v>
      </c>
    </row>
    <row r="50" spans="2:7" ht="15.75" x14ac:dyDescent="0.25">
      <c r="B50" s="59"/>
      <c r="C50" s="59"/>
      <c r="D50" s="59"/>
      <c r="E50" s="60"/>
      <c r="F50" s="25" t="s">
        <v>49</v>
      </c>
      <c r="G50" s="25">
        <f>G49+G48</f>
        <v>278.3</v>
      </c>
    </row>
    <row r="51" spans="2:7" x14ac:dyDescent="0.25">
      <c r="B51" s="12"/>
      <c r="C51" s="12"/>
      <c r="D51" s="21"/>
      <c r="E51" s="21"/>
    </row>
  </sheetData>
  <mergeCells count="4">
    <mergeCell ref="B7:C8"/>
    <mergeCell ref="E7:G8"/>
    <mergeCell ref="B12:D13"/>
    <mergeCell ref="B48:E50"/>
  </mergeCells>
  <conditionalFormatting sqref="B23:G47">
    <cfRule type="expression" dxfId="0" priority="1">
      <formula>AND($B23 &lt;&gt; "")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B1:L21"/>
  <sheetViews>
    <sheetView showGridLines="0" showRowColHeaders="0" workbookViewId="0">
      <selection activeCell="I12" sqref="I12"/>
    </sheetView>
  </sheetViews>
  <sheetFormatPr baseColWidth="10" defaultRowHeight="15" x14ac:dyDescent="0.25"/>
  <cols>
    <col min="3" max="3" width="12.7109375" customWidth="1"/>
    <col min="4" max="4" width="20.7109375" customWidth="1"/>
    <col min="5" max="5" width="23.28515625" customWidth="1"/>
    <col min="6" max="6" width="19.28515625" customWidth="1"/>
    <col min="7" max="7" width="11.5703125" customWidth="1"/>
    <col min="11" max="11" width="0" hidden="1" customWidth="1"/>
    <col min="12" max="12" width="15.28515625" style="48" customWidth="1"/>
  </cols>
  <sheetData>
    <row r="1" spans="2:12" ht="36.75" customHeight="1" x14ac:dyDescent="0.25"/>
    <row r="4" spans="2:12" x14ac:dyDescent="0.25">
      <c r="B4" t="s">
        <v>61</v>
      </c>
      <c r="C4" t="s">
        <v>62</v>
      </c>
      <c r="D4" t="s">
        <v>65</v>
      </c>
      <c r="E4" t="s">
        <v>36</v>
      </c>
      <c r="F4" t="s">
        <v>63</v>
      </c>
      <c r="G4" t="s">
        <v>32</v>
      </c>
      <c r="H4" t="s">
        <v>34</v>
      </c>
      <c r="I4" t="s">
        <v>33</v>
      </c>
      <c r="J4" t="s">
        <v>130</v>
      </c>
      <c r="K4" t="s">
        <v>64</v>
      </c>
      <c r="L4" s="48" t="s">
        <v>131</v>
      </c>
    </row>
    <row r="5" spans="2:12" x14ac:dyDescent="0.25">
      <c r="B5" t="s">
        <v>104</v>
      </c>
      <c r="C5" t="s">
        <v>125</v>
      </c>
      <c r="D5" t="s">
        <v>146</v>
      </c>
      <c r="E5" t="s">
        <v>99</v>
      </c>
      <c r="G5" t="s">
        <v>122</v>
      </c>
      <c r="H5">
        <v>12</v>
      </c>
      <c r="I5" s="47">
        <v>12.2</v>
      </c>
      <c r="J5" s="46">
        <f>IFERROR(Tableau7[[#This Row],[Nombre]]*Tableau7[[#This Row],[Prix]],"")</f>
        <v>146.39999999999998</v>
      </c>
      <c r="K5" s="37" t="str">
        <f>IF(Tableau7[[Type ]]="Sortie",COUNTIFS(Tableau7[[Type ]],"Sortie",Tableau7[Nombre],"&gt;"&amp;Tableau7[[#This Row],[Nombre]])+1,"")</f>
        <v/>
      </c>
      <c r="L5" s="48" t="str">
        <f>IF(Tableau7[[Type ]]="Sortie",Tableau7[Prix Total],"")</f>
        <v/>
      </c>
    </row>
    <row r="6" spans="2:12" x14ac:dyDescent="0.25">
      <c r="B6" t="s">
        <v>104</v>
      </c>
      <c r="C6" t="s">
        <v>126</v>
      </c>
      <c r="D6" t="s">
        <v>147</v>
      </c>
      <c r="E6" t="s">
        <v>118</v>
      </c>
      <c r="G6" t="s">
        <v>123</v>
      </c>
      <c r="H6">
        <v>2</v>
      </c>
      <c r="I6" s="47">
        <v>290</v>
      </c>
      <c r="J6" s="46">
        <f>IFERROR(Tableau7[[#This Row],[Nombre]]*Tableau7[[#This Row],[Prix]],"")</f>
        <v>580</v>
      </c>
      <c r="K6" s="37" t="str">
        <f>IF(Tableau7[[Type ]]="Sortie",COUNTIFS(Tableau7[[Type ]],"Sortie",Tableau7[Nombre],"&gt;"&amp;Tableau7[[#This Row],[Nombre]])+1,"")</f>
        <v/>
      </c>
      <c r="L6" s="48" t="str">
        <f>IF(Tableau7[[Type ]]="Sortie",Tableau7[Prix Total],"")</f>
        <v/>
      </c>
    </row>
    <row r="7" spans="2:12" x14ac:dyDescent="0.25">
      <c r="B7" t="s">
        <v>110</v>
      </c>
      <c r="C7" t="s">
        <v>148</v>
      </c>
      <c r="D7" t="s">
        <v>124</v>
      </c>
      <c r="F7" t="s">
        <v>105</v>
      </c>
      <c r="G7" t="s">
        <v>122</v>
      </c>
      <c r="H7">
        <v>5</v>
      </c>
      <c r="I7" s="47">
        <v>12.2</v>
      </c>
      <c r="J7" s="46">
        <f>IFERROR(Tableau7[[#This Row],[Nombre]]*Tableau7[[#This Row],[Prix]],"")</f>
        <v>61</v>
      </c>
      <c r="K7" s="37">
        <f>IF(Tableau7[[Type ]]="Sortie",COUNTIFS(Tableau7[[Type ]],"Sortie",Tableau7[Nombre],"&gt;"&amp;Tableau7[[#This Row],[Nombre]])+1,"")</f>
        <v>1</v>
      </c>
      <c r="L7" s="48">
        <f>IF(Tableau7[[Type ]]="Sortie",Tableau7[Prix Total],"")</f>
        <v>61</v>
      </c>
    </row>
    <row r="8" spans="2:12" x14ac:dyDescent="0.25">
      <c r="B8" t="s">
        <v>110</v>
      </c>
      <c r="C8" t="s">
        <v>148</v>
      </c>
      <c r="D8" t="s">
        <v>124</v>
      </c>
      <c r="F8" t="s">
        <v>105</v>
      </c>
      <c r="G8" t="s">
        <v>129</v>
      </c>
      <c r="H8">
        <v>1</v>
      </c>
      <c r="I8" s="47">
        <v>1.1000000000000001</v>
      </c>
      <c r="J8" s="46">
        <f>IFERROR(Tableau7[[#This Row],[Nombre]]*Tableau7[[#This Row],[Prix]],"")</f>
        <v>1.1000000000000001</v>
      </c>
      <c r="K8" s="37">
        <f>IF(Tableau7[[Type ]]="Sortie",COUNTIFS(Tableau7[[Type ]],"Sortie",Tableau7[Nombre],"&gt;"&amp;Tableau7[[#This Row],[Nombre]])+1,"")</f>
        <v>4</v>
      </c>
      <c r="L8" s="48">
        <f>IF(Tableau7[[Type ]]="Sortie",Tableau7[Prix Total],"")</f>
        <v>1.1000000000000001</v>
      </c>
    </row>
    <row r="9" spans="2:12" x14ac:dyDescent="0.25">
      <c r="B9" t="s">
        <v>110</v>
      </c>
      <c r="C9" t="s">
        <v>127</v>
      </c>
      <c r="D9" t="s">
        <v>67</v>
      </c>
      <c r="F9" t="s">
        <v>115</v>
      </c>
      <c r="G9" t="s">
        <v>123</v>
      </c>
      <c r="H9">
        <v>4</v>
      </c>
      <c r="I9" s="47">
        <v>290</v>
      </c>
      <c r="J9" s="46">
        <f>IFERROR(Tableau7[[#This Row],[Nombre]]*Tableau7[[#This Row],[Prix]],"")</f>
        <v>1160</v>
      </c>
      <c r="K9" s="37">
        <f>IF(Tableau7[[Type ]]="Sortie",COUNTIFS(Tableau7[[Type ]],"Sortie",Tableau7[Nombre],"&gt;"&amp;Tableau7[[#This Row],[Nombre]])+1,"")</f>
        <v>3</v>
      </c>
      <c r="L9" s="48">
        <f>IF(Tableau7[[Type ]]="Sortie",Tableau7[Prix Total],"")</f>
        <v>1160</v>
      </c>
    </row>
    <row r="10" spans="2:12" x14ac:dyDescent="0.25">
      <c r="B10" t="s">
        <v>104</v>
      </c>
      <c r="C10" t="s">
        <v>128</v>
      </c>
      <c r="D10" t="s">
        <v>149</v>
      </c>
      <c r="E10" t="s">
        <v>118</v>
      </c>
      <c r="G10" t="s">
        <v>123</v>
      </c>
      <c r="H10">
        <v>20</v>
      </c>
      <c r="I10" s="47">
        <v>290</v>
      </c>
      <c r="J10" s="46">
        <f>IFERROR(Tableau7[[#This Row],[Nombre]]*Tableau7[[#This Row],[Prix]],"")</f>
        <v>5800</v>
      </c>
      <c r="K10" s="37" t="str">
        <f>IF(Tableau7[[Type ]]="Sortie",COUNTIFS(Tableau7[[Type ]],"Sortie",Tableau7[Nombre],"&gt;"&amp;Tableau7[[#This Row],[Nombre]])+1,"")</f>
        <v/>
      </c>
      <c r="L10" s="48" t="str">
        <f>IF(Tableau7[[Type ]]="Sortie",Tableau7[Prix Total],"")</f>
        <v/>
      </c>
    </row>
    <row r="11" spans="2:12" x14ac:dyDescent="0.25">
      <c r="B11" t="s">
        <v>104</v>
      </c>
      <c r="C11" t="s">
        <v>128</v>
      </c>
      <c r="D11" t="s">
        <v>149</v>
      </c>
      <c r="E11" t="s">
        <v>118</v>
      </c>
      <c r="G11" t="s">
        <v>129</v>
      </c>
      <c r="H11">
        <v>2</v>
      </c>
      <c r="I11" s="47">
        <v>1.1000000000000001</v>
      </c>
      <c r="J11" s="46">
        <f>IFERROR(Tableau7[[#This Row],[Nombre]]*Tableau7[[#This Row],[Prix]],"")</f>
        <v>2.2000000000000002</v>
      </c>
      <c r="K11" s="37" t="str">
        <f>IF(Tableau7[[Type ]]="Sortie",COUNTIFS(Tableau7[[Type ]],"Sortie",Tableau7[Nombre],"&gt;"&amp;Tableau7[[#This Row],[Nombre]])+1,"")</f>
        <v/>
      </c>
      <c r="L11" s="48" t="str">
        <f>IF(Tableau7[[Type ]]="Sortie",Tableau7[Prix Total],"")</f>
        <v/>
      </c>
    </row>
    <row r="12" spans="2:12" x14ac:dyDescent="0.25">
      <c r="B12" t="s">
        <v>104</v>
      </c>
      <c r="C12" t="s">
        <v>154</v>
      </c>
      <c r="D12" t="s">
        <v>153</v>
      </c>
      <c r="E12" t="s">
        <v>118</v>
      </c>
      <c r="G12" t="s">
        <v>150</v>
      </c>
      <c r="H12">
        <v>2</v>
      </c>
      <c r="I12" s="47">
        <v>5.2</v>
      </c>
      <c r="J12" s="46">
        <f>IFERROR(Tableau7[[#This Row],[Nombre]]*Tableau7[[#This Row],[Prix]],"")</f>
        <v>10.4</v>
      </c>
      <c r="K12" s="37" t="str">
        <f>IF(Tableau7[[Type ]]="Sortie",COUNTIFS(Tableau7[[Type ]],"Sortie",Tableau7[Nombre],"&gt;"&amp;Tableau7[[#This Row],[Nombre]])+1,"")</f>
        <v/>
      </c>
      <c r="L12" s="48" t="str">
        <f>IF(Tableau7[[Type ]]="Sortie",Tableau7[Prix Total],"")</f>
        <v/>
      </c>
    </row>
    <row r="13" spans="2:12" x14ac:dyDescent="0.25">
      <c r="B13" t="s">
        <v>104</v>
      </c>
      <c r="C13" t="s">
        <v>155</v>
      </c>
      <c r="D13" t="s">
        <v>153</v>
      </c>
      <c r="E13" t="s">
        <v>99</v>
      </c>
      <c r="G13" t="s">
        <v>150</v>
      </c>
      <c r="H13">
        <v>2</v>
      </c>
      <c r="I13" s="47">
        <v>5.2</v>
      </c>
      <c r="J13" s="46">
        <f>IFERROR(Tableau7[[#This Row],[Nombre]]*Tableau7[[#This Row],[Prix]],"")</f>
        <v>10.4</v>
      </c>
      <c r="K13" s="37" t="str">
        <f>IF(Tableau7[[Type ]]="Sortie",COUNTIFS(Tableau7[[Type ]],"Sortie",Tableau7[Nombre],"&gt;"&amp;Tableau7[[#This Row],[Nombre]])+1,"")</f>
        <v/>
      </c>
      <c r="L13" s="48" t="str">
        <f>IF(Tableau7[[Type ]]="Sortie",Tableau7[Prix Total],"")</f>
        <v/>
      </c>
    </row>
    <row r="14" spans="2:12" x14ac:dyDescent="0.25">
      <c r="B14" t="s">
        <v>104</v>
      </c>
      <c r="C14" t="s">
        <v>156</v>
      </c>
      <c r="D14" t="s">
        <v>153</v>
      </c>
      <c r="E14" t="s">
        <v>99</v>
      </c>
      <c r="G14" t="s">
        <v>150</v>
      </c>
      <c r="H14">
        <v>2</v>
      </c>
      <c r="I14" s="47">
        <v>5.2</v>
      </c>
      <c r="J14" s="46">
        <f>IFERROR(Tableau7[[#This Row],[Nombre]]*Tableau7[[#This Row],[Prix]],"")</f>
        <v>10.4</v>
      </c>
      <c r="K14" s="37" t="str">
        <f>IF(Tableau7[[Type ]]="Sortie",COUNTIFS(Tableau7[[Type ]],"Sortie",Tableau7[Nombre],"&gt;"&amp;Tableau7[[#This Row],[Nombre]])+1,"")</f>
        <v/>
      </c>
      <c r="L14" s="48" t="str">
        <f>IF(Tableau7[[Type ]]="Sortie",Tableau7[Prix Total],"")</f>
        <v/>
      </c>
    </row>
    <row r="15" spans="2:12" x14ac:dyDescent="0.25">
      <c r="B15" t="s">
        <v>104</v>
      </c>
      <c r="C15" t="s">
        <v>156</v>
      </c>
      <c r="D15" t="s">
        <v>153</v>
      </c>
      <c r="E15" t="s">
        <v>99</v>
      </c>
      <c r="G15" t="s">
        <v>122</v>
      </c>
      <c r="H15">
        <v>1</v>
      </c>
      <c r="I15" s="47">
        <v>12.2</v>
      </c>
      <c r="J15" s="46">
        <f>IFERROR(Tableau7[[#This Row],[Nombre]]*Tableau7[[#This Row],[Prix]],"")</f>
        <v>12.2</v>
      </c>
      <c r="K15" s="37" t="str">
        <f>IF(Tableau7[[Type ]]="Sortie",COUNTIFS(Tableau7[[Type ]],"Sortie",Tableau7[Nombre],"&gt;"&amp;Tableau7[[#This Row],[Nombre]])+1,"")</f>
        <v/>
      </c>
      <c r="L15" s="48" t="str">
        <f>IF(Tableau7[[Type ]]="Sortie",Tableau7[Prix Total],"")</f>
        <v/>
      </c>
    </row>
    <row r="16" spans="2:12" x14ac:dyDescent="0.25">
      <c r="B16" t="s">
        <v>104</v>
      </c>
      <c r="C16" t="s">
        <v>161</v>
      </c>
      <c r="D16" t="s">
        <v>153</v>
      </c>
      <c r="E16" t="s">
        <v>118</v>
      </c>
      <c r="G16" t="s">
        <v>157</v>
      </c>
      <c r="H16">
        <v>10</v>
      </c>
      <c r="I16" s="47">
        <v>23</v>
      </c>
      <c r="J16" s="46">
        <f>IFERROR(Tableau7[[#This Row],[Nombre]]*Tableau7[[#This Row],[Prix]],"")</f>
        <v>230</v>
      </c>
      <c r="K16" s="37" t="str">
        <f>IF(Tableau7[[Type ]]="Sortie",COUNTIFS(Tableau7[[Type ]],"Sortie",Tableau7[Nombre],"&gt;"&amp;Tableau7[[#This Row],[Nombre]])+1,"")</f>
        <v/>
      </c>
      <c r="L16" s="48" t="str">
        <f>IF(Tableau7[[Type ]]="Sortie",Tableau7[Prix Total],"")</f>
        <v/>
      </c>
    </row>
    <row r="17" spans="2:12" x14ac:dyDescent="0.25">
      <c r="B17" t="s">
        <v>110</v>
      </c>
      <c r="C17" t="s">
        <v>162</v>
      </c>
      <c r="D17" t="s">
        <v>124</v>
      </c>
      <c r="F17" t="s">
        <v>111</v>
      </c>
      <c r="G17" t="s">
        <v>157</v>
      </c>
      <c r="H17">
        <v>5</v>
      </c>
      <c r="I17" s="47">
        <v>23</v>
      </c>
      <c r="J17" s="46">
        <f>IFERROR(Tableau7[[#This Row],[Nombre]]*Tableau7[[#This Row],[Prix]],"")</f>
        <v>115</v>
      </c>
      <c r="K17" s="37">
        <f>IF(Tableau7[[Type ]]="Sortie",COUNTIFS(Tableau7[[Type ]],"Sortie",Tableau7[Nombre],"&gt;"&amp;Tableau7[[#This Row],[Nombre]])+1,"")</f>
        <v>1</v>
      </c>
      <c r="L17" s="48">
        <f>IF(Tableau7[[Type ]]="Sortie",Tableau7[Prix Total],"")</f>
        <v>115</v>
      </c>
    </row>
    <row r="21" spans="2:12" x14ac:dyDescent="0.25">
      <c r="I21" t="s">
        <v>86</v>
      </c>
    </row>
  </sheetData>
  <dataValidations count="1">
    <dataValidation type="list" allowBlank="1" showInputMessage="1" showErrorMessage="1" sqref="B5:B17" xr:uid="{00000000-0002-0000-0400-000000000000}">
      <formula1>"Entrée,Sortie"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2" r:id="rId3" name="CommandButton1">
          <controlPr defaultSize="0" autoLine="0" r:id="rId4">
            <anchor moveWithCells="1">
              <from>
                <xdr:col>0</xdr:col>
                <xdr:colOff>742950</xdr:colOff>
                <xdr:row>1</xdr:row>
                <xdr:rowOff>85725</xdr:rowOff>
              </from>
              <to>
                <xdr:col>2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6152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B1:I10"/>
  <sheetViews>
    <sheetView showGridLines="0" showRowColHeaders="0" workbookViewId="0">
      <selection activeCell="C1" sqref="C1"/>
    </sheetView>
  </sheetViews>
  <sheetFormatPr baseColWidth="10" defaultRowHeight="15" x14ac:dyDescent="0.25"/>
  <cols>
    <col min="1" max="1" width="11.42578125" style="1"/>
    <col min="2" max="2" width="20.28515625" style="1" customWidth="1"/>
    <col min="3" max="3" width="18.42578125" style="1" customWidth="1"/>
    <col min="4" max="4" width="15" style="1" customWidth="1"/>
    <col min="5" max="5" width="20.42578125" style="1" customWidth="1"/>
    <col min="6" max="6" width="14" style="1" customWidth="1"/>
    <col min="7" max="7" width="21.28515625" style="1" customWidth="1"/>
    <col min="8" max="8" width="26.85546875" style="1" customWidth="1"/>
    <col min="9" max="9" width="14" style="1" customWidth="1"/>
    <col min="10" max="16384" width="11.42578125" style="1"/>
  </cols>
  <sheetData>
    <row r="1" spans="2:9" ht="36" customHeight="1" x14ac:dyDescent="0.25"/>
    <row r="5" spans="2:9" x14ac:dyDescent="0.25">
      <c r="B5" s="1" t="s">
        <v>19</v>
      </c>
      <c r="C5" s="1" t="s">
        <v>26</v>
      </c>
      <c r="D5" s="1" t="s">
        <v>25</v>
      </c>
      <c r="E5" s="1" t="s">
        <v>24</v>
      </c>
      <c r="F5" s="1" t="s">
        <v>23</v>
      </c>
      <c r="G5" s="1" t="s">
        <v>22</v>
      </c>
      <c r="H5" s="1" t="s">
        <v>21</v>
      </c>
      <c r="I5" s="1" t="s">
        <v>60</v>
      </c>
    </row>
    <row r="6" spans="2:9" x14ac:dyDescent="0.25">
      <c r="B6" s="1" t="s">
        <v>67</v>
      </c>
      <c r="C6" s="1" t="s">
        <v>67</v>
      </c>
      <c r="D6" s="1" t="s">
        <v>67</v>
      </c>
      <c r="E6" s="1" t="s">
        <v>67</v>
      </c>
      <c r="F6" s="1" t="s">
        <v>67</v>
      </c>
      <c r="G6" s="16" t="s">
        <v>67</v>
      </c>
      <c r="H6" s="17" t="s">
        <v>67</v>
      </c>
      <c r="I6" s="1" t="str">
        <f>CONCATENATE(LEFT(F6,2),"-",D6," ",E6)</f>
        <v xml:space="preserve">- </v>
      </c>
    </row>
    <row r="7" spans="2:9" x14ac:dyDescent="0.25">
      <c r="B7" s="1" t="s">
        <v>99</v>
      </c>
      <c r="C7" s="1" t="s">
        <v>100</v>
      </c>
      <c r="D7" s="1">
        <v>100</v>
      </c>
      <c r="E7" s="1" t="s">
        <v>57</v>
      </c>
      <c r="F7" s="1" t="s">
        <v>101</v>
      </c>
      <c r="G7" s="16" t="s">
        <v>102</v>
      </c>
      <c r="H7" s="17" t="s">
        <v>103</v>
      </c>
      <c r="I7" s="1" t="str">
        <f>CONCATENATE(LEFT(F7,2),"-",D7," ",E7)</f>
        <v>To-100 Lomé</v>
      </c>
    </row>
    <row r="8" spans="2:9" x14ac:dyDescent="0.25">
      <c r="B8" s="1" t="s">
        <v>118</v>
      </c>
      <c r="C8" s="1" t="s">
        <v>119</v>
      </c>
      <c r="D8" s="1">
        <v>19</v>
      </c>
      <c r="E8" s="1" t="s">
        <v>57</v>
      </c>
      <c r="F8" s="1" t="s">
        <v>101</v>
      </c>
      <c r="G8" s="16" t="s">
        <v>120</v>
      </c>
      <c r="H8" s="17" t="s">
        <v>121</v>
      </c>
      <c r="I8" s="1" t="str">
        <f t="shared" ref="I8:I10" si="0">CONCATENATE(LEFT(F8,2),"-",D8," ",E8)</f>
        <v>To-19 Lomé</v>
      </c>
    </row>
    <row r="9" spans="2:9" x14ac:dyDescent="0.25">
      <c r="G9" s="16"/>
      <c r="H9" s="17"/>
      <c r="I9" s="1" t="str">
        <f t="shared" si="0"/>
        <v xml:space="preserve">- </v>
      </c>
    </row>
    <row r="10" spans="2:9" x14ac:dyDescent="0.25">
      <c r="G10" s="16"/>
      <c r="H10" s="17"/>
      <c r="I10" s="1" t="str">
        <f t="shared" si="0"/>
        <v xml:space="preserve">- </v>
      </c>
    </row>
  </sheetData>
  <hyperlinks>
    <hyperlink ref="H7" r:id="rId1" xr:uid="{00000000-0004-0000-0500-000000000000}"/>
    <hyperlink ref="H8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B1:I10"/>
  <sheetViews>
    <sheetView showGridLines="0" showRowColHeaders="0" workbookViewId="0">
      <selection activeCell="C1" sqref="C1"/>
    </sheetView>
  </sheetViews>
  <sheetFormatPr baseColWidth="10" defaultRowHeight="15" x14ac:dyDescent="0.25"/>
  <cols>
    <col min="1" max="1" width="11.42578125" style="1"/>
    <col min="2" max="2" width="20.85546875" style="1" customWidth="1"/>
    <col min="3" max="4" width="13" style="1" customWidth="1"/>
    <col min="5" max="5" width="16" style="1" customWidth="1"/>
    <col min="6" max="6" width="14.28515625" style="1" customWidth="1"/>
    <col min="7" max="7" width="17.7109375" style="1" customWidth="1"/>
    <col min="8" max="8" width="22.42578125" style="1" customWidth="1"/>
    <col min="9" max="9" width="14.5703125" style="1" customWidth="1"/>
    <col min="10" max="10" width="13" style="1" customWidth="1"/>
    <col min="11" max="16384" width="11.42578125" style="1"/>
  </cols>
  <sheetData>
    <row r="1" spans="2:9" ht="36.75" customHeight="1" x14ac:dyDescent="0.25"/>
    <row r="5" spans="2:9" x14ac:dyDescent="0.25">
      <c r="B5" s="1" t="s">
        <v>19</v>
      </c>
      <c r="C5" s="1" t="s">
        <v>26</v>
      </c>
      <c r="D5" s="1" t="s">
        <v>25</v>
      </c>
      <c r="E5" s="1" t="s">
        <v>24</v>
      </c>
      <c r="F5" s="1" t="s">
        <v>23</v>
      </c>
      <c r="G5" s="1" t="s">
        <v>22</v>
      </c>
      <c r="H5" s="1" t="s">
        <v>21</v>
      </c>
      <c r="I5" s="1" t="s">
        <v>60</v>
      </c>
    </row>
    <row r="6" spans="2:9" x14ac:dyDescent="0.25">
      <c r="B6" s="1" t="s">
        <v>105</v>
      </c>
      <c r="C6" s="1" t="s">
        <v>106</v>
      </c>
      <c r="D6" s="1">
        <v>200</v>
      </c>
      <c r="E6" s="1" t="s">
        <v>107</v>
      </c>
      <c r="F6" s="1" t="s">
        <v>20</v>
      </c>
      <c r="G6" s="16" t="s">
        <v>108</v>
      </c>
      <c r="H6" s="17" t="s">
        <v>109</v>
      </c>
      <c r="I6" s="1" t="str">
        <f>CONCATENATE(LEFT(F6,2),"-",Tableau5[Cp]," ",Tableau5[Ville])</f>
        <v>To-200 Kara</v>
      </c>
    </row>
    <row r="7" spans="2:9" x14ac:dyDescent="0.25">
      <c r="B7" s="1" t="s">
        <v>111</v>
      </c>
      <c r="C7" s="1" t="s">
        <v>112</v>
      </c>
      <c r="D7" s="1">
        <v>160</v>
      </c>
      <c r="E7" s="1" t="s">
        <v>57</v>
      </c>
      <c r="F7" s="1" t="s">
        <v>20</v>
      </c>
      <c r="G7" s="16" t="s">
        <v>113</v>
      </c>
      <c r="H7" s="17" t="s">
        <v>114</v>
      </c>
      <c r="I7" s="1" t="str">
        <f>CONCATENATE(LEFT(F7,2),"-",Tableau5[Cp]," ",Tableau5[Ville])</f>
        <v>To-160 Lomé</v>
      </c>
    </row>
    <row r="8" spans="2:9" x14ac:dyDescent="0.25">
      <c r="B8" s="1" t="s">
        <v>115</v>
      </c>
      <c r="C8" s="1" t="s">
        <v>100</v>
      </c>
      <c r="D8" s="1">
        <v>161</v>
      </c>
      <c r="E8" s="1" t="s">
        <v>57</v>
      </c>
      <c r="F8" s="1" t="s">
        <v>20</v>
      </c>
      <c r="G8" s="16" t="s">
        <v>116</v>
      </c>
      <c r="H8" s="17" t="s">
        <v>117</v>
      </c>
      <c r="I8" s="1" t="str">
        <f>CONCATENATE(LEFT(F8,2),"-",Tableau5[Cp]," ",Tableau5[Ville])</f>
        <v>To-161 Lomé</v>
      </c>
    </row>
    <row r="9" spans="2:9" x14ac:dyDescent="0.25">
      <c r="G9" s="16"/>
      <c r="H9" s="17"/>
      <c r="I9" s="1" t="str">
        <f>CONCATENATE(LEFT(F9,2),"-",Tableau5[Cp]," ",Tableau5[Ville])</f>
        <v xml:space="preserve">- </v>
      </c>
    </row>
    <row r="10" spans="2:9" x14ac:dyDescent="0.25">
      <c r="G10" s="16"/>
      <c r="H10" s="17"/>
      <c r="I10" s="1" t="str">
        <f>CONCATENATE(LEFT(F10,2),"-",Tableau5[Cp]," ",Tableau5[Ville])</f>
        <v xml:space="preserve">- </v>
      </c>
    </row>
  </sheetData>
  <hyperlinks>
    <hyperlink ref="H6" r:id="rId1" xr:uid="{00000000-0004-0000-0600-000000000000}"/>
    <hyperlink ref="H7" r:id="rId2" xr:uid="{00000000-0004-0000-0600-000001000000}"/>
    <hyperlink ref="H8" r:id="rId3" xr:uid="{00000000-0004-0000-0600-000002000000}"/>
  </hyperlinks>
  <pageMargins left="0.7" right="0.7" top="0.75" bottom="0.75" header="0.3" footer="0.3"/>
  <drawing r:id="rId4"/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J190"/>
  <sheetViews>
    <sheetView showGridLines="0" showRowColHeaders="0" workbookViewId="0">
      <selection activeCell="C35" sqref="C35:E40"/>
    </sheetView>
  </sheetViews>
  <sheetFormatPr baseColWidth="10" defaultRowHeight="15" x14ac:dyDescent="0.25"/>
  <cols>
    <col min="2" max="2" width="19.5703125" bestFit="1" customWidth="1"/>
    <col min="3" max="3" width="24.140625" bestFit="1" customWidth="1"/>
    <col min="9" max="9" width="12.28515625" customWidth="1"/>
  </cols>
  <sheetData>
    <row r="1" spans="2:3" ht="36" customHeight="1" x14ac:dyDescent="0.25"/>
    <row r="6" spans="2:3" ht="15.75" x14ac:dyDescent="0.25">
      <c r="B6" s="13" t="s">
        <v>97</v>
      </c>
    </row>
    <row r="8" spans="2:3" x14ac:dyDescent="0.25">
      <c r="B8" s="2" t="s">
        <v>88</v>
      </c>
      <c r="C8" s="3" t="s">
        <v>133</v>
      </c>
    </row>
    <row r="9" spans="2:3" x14ac:dyDescent="0.25">
      <c r="B9" s="2" t="s">
        <v>89</v>
      </c>
      <c r="C9" s="3" t="s">
        <v>28</v>
      </c>
    </row>
    <row r="10" spans="2:3" x14ac:dyDescent="0.25">
      <c r="B10" s="2" t="s">
        <v>90</v>
      </c>
      <c r="C10" s="3" t="s">
        <v>134</v>
      </c>
    </row>
    <row r="11" spans="2:3" x14ac:dyDescent="0.25">
      <c r="B11" s="2" t="s">
        <v>91</v>
      </c>
      <c r="C11" s="3" t="s">
        <v>135</v>
      </c>
    </row>
    <row r="12" spans="2:3" x14ac:dyDescent="0.25">
      <c r="B12" s="2" t="s">
        <v>92</v>
      </c>
      <c r="C12" s="3" t="s">
        <v>136</v>
      </c>
    </row>
    <row r="13" spans="2:3" x14ac:dyDescent="0.25">
      <c r="B13" s="2" t="s">
        <v>93</v>
      </c>
      <c r="C13" s="3" t="s">
        <v>36</v>
      </c>
    </row>
    <row r="14" spans="2:3" x14ac:dyDescent="0.25">
      <c r="B14" s="2" t="s">
        <v>94</v>
      </c>
      <c r="C14" s="3" t="s">
        <v>137</v>
      </c>
    </row>
    <row r="15" spans="2:3" x14ac:dyDescent="0.25">
      <c r="B15" s="2" t="s">
        <v>95</v>
      </c>
      <c r="C15" s="3" t="s">
        <v>96</v>
      </c>
    </row>
    <row r="17" spans="2:5" ht="15.75" x14ac:dyDescent="0.25">
      <c r="B17" s="13" t="s">
        <v>29</v>
      </c>
    </row>
    <row r="19" spans="2:5" x14ac:dyDescent="0.25">
      <c r="B19" s="2" t="s">
        <v>28</v>
      </c>
      <c r="C19" s="3" t="s">
        <v>27</v>
      </c>
      <c r="D19" s="3">
        <v>7</v>
      </c>
      <c r="E19" s="2" t="str">
        <f>C19&amp;TEXT(D19,"0000")</f>
        <v>ART-0007</v>
      </c>
    </row>
    <row r="20" spans="2:5" x14ac:dyDescent="0.25">
      <c r="B20" s="2" t="s">
        <v>37</v>
      </c>
      <c r="C20" s="3" t="s">
        <v>138</v>
      </c>
      <c r="D20" s="3">
        <v>5</v>
      </c>
      <c r="E20" s="2" t="str">
        <f>C20&amp;TEXT(D20,"0000")</f>
        <v>COM-0005</v>
      </c>
    </row>
    <row r="21" spans="2:5" x14ac:dyDescent="0.25">
      <c r="B21" s="2" t="s">
        <v>66</v>
      </c>
      <c r="C21" s="3" t="s">
        <v>139</v>
      </c>
      <c r="D21" s="3">
        <v>11</v>
      </c>
      <c r="E21" s="2" t="str">
        <f>C21&amp;TEXT(D21,"0000")</f>
        <v>E/S-0011</v>
      </c>
    </row>
    <row r="22" spans="2:5" x14ac:dyDescent="0.25">
      <c r="B22" s="2" t="s">
        <v>68</v>
      </c>
      <c r="C22" s="3" t="s">
        <v>69</v>
      </c>
      <c r="D22" s="3">
        <v>11</v>
      </c>
      <c r="E22" s="2" t="str">
        <f>C22&amp;TEXT(D22,"0000")</f>
        <v>FAC-0011</v>
      </c>
    </row>
    <row r="24" spans="2:5" ht="15.75" x14ac:dyDescent="0.25">
      <c r="B24" s="13" t="s">
        <v>50</v>
      </c>
    </row>
    <row r="26" spans="2:5" ht="15.75" x14ac:dyDescent="0.25">
      <c r="B26" s="14" t="s">
        <v>51</v>
      </c>
      <c r="C26" s="3" t="s">
        <v>55</v>
      </c>
    </row>
    <row r="27" spans="2:5" ht="15.75" x14ac:dyDescent="0.25">
      <c r="B27" s="15" t="s">
        <v>26</v>
      </c>
      <c r="C27" s="3" t="s">
        <v>56</v>
      </c>
    </row>
    <row r="28" spans="2:5" ht="15.75" x14ac:dyDescent="0.25">
      <c r="B28" s="14" t="s">
        <v>52</v>
      </c>
      <c r="C28" s="28">
        <v>100</v>
      </c>
    </row>
    <row r="29" spans="2:5" ht="15.75" x14ac:dyDescent="0.25">
      <c r="B29" s="14" t="s">
        <v>24</v>
      </c>
      <c r="C29" s="3" t="s">
        <v>57</v>
      </c>
    </row>
    <row r="30" spans="2:5" ht="15.75" x14ac:dyDescent="0.25">
      <c r="B30" s="14" t="s">
        <v>23</v>
      </c>
      <c r="C30" s="3" t="s">
        <v>20</v>
      </c>
    </row>
    <row r="31" spans="2:5" ht="15.75" x14ac:dyDescent="0.25">
      <c r="B31" s="14" t="s">
        <v>42</v>
      </c>
      <c r="C31" s="3" t="s">
        <v>58</v>
      </c>
      <c r="E31" s="1"/>
    </row>
    <row r="32" spans="2:5" ht="15.75" x14ac:dyDescent="0.25">
      <c r="B32" s="14" t="s">
        <v>53</v>
      </c>
      <c r="C32" s="3" t="s">
        <v>59</v>
      </c>
      <c r="E32" s="29"/>
    </row>
    <row r="34" spans="1:10" ht="16.5" thickBot="1" x14ac:dyDescent="0.3">
      <c r="B34" s="14" t="s">
        <v>54</v>
      </c>
    </row>
    <row r="35" spans="1:10" ht="15" customHeight="1" x14ac:dyDescent="0.25">
      <c r="C35" s="61" t="s">
        <v>73</v>
      </c>
      <c r="D35" s="62"/>
      <c r="E35" s="63"/>
    </row>
    <row r="36" spans="1:10" ht="15" customHeight="1" x14ac:dyDescent="0.25">
      <c r="C36" s="64"/>
      <c r="D36" s="65"/>
      <c r="E36" s="66"/>
    </row>
    <row r="37" spans="1:10" ht="15" customHeight="1" x14ac:dyDescent="0.25">
      <c r="C37" s="64"/>
      <c r="D37" s="65"/>
      <c r="E37" s="66"/>
    </row>
    <row r="38" spans="1:10" ht="15" customHeight="1" x14ac:dyDescent="0.25">
      <c r="C38" s="64"/>
      <c r="D38" s="65"/>
      <c r="E38" s="66"/>
    </row>
    <row r="39" spans="1:10" ht="15" customHeight="1" x14ac:dyDescent="0.25">
      <c r="C39" s="64"/>
      <c r="D39" s="65"/>
      <c r="E39" s="66"/>
    </row>
    <row r="40" spans="1:10" ht="15.75" customHeight="1" thickBot="1" x14ac:dyDescent="0.3">
      <c r="C40" s="67"/>
      <c r="D40" s="68"/>
      <c r="E40" s="69"/>
    </row>
    <row r="43" spans="1:1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ht="15.75" x14ac:dyDescent="0.25">
      <c r="A45" s="1"/>
      <c r="B45" s="34" t="s">
        <v>74</v>
      </c>
      <c r="C45" s="1"/>
      <c r="D45" s="1"/>
      <c r="E45" s="1"/>
      <c r="F45" s="1"/>
      <c r="G45" s="1"/>
      <c r="H45" s="1"/>
      <c r="I45" s="1"/>
      <c r="J45" s="1"/>
    </row>
    <row r="46" spans="1:10" x14ac:dyDescent="0.25">
      <c r="A46" s="1"/>
      <c r="B46" s="1"/>
      <c r="C46" s="35"/>
      <c r="D46" s="1"/>
      <c r="E46" s="1"/>
      <c r="F46" s="1"/>
      <c r="G46" s="1"/>
      <c r="H46" s="1"/>
      <c r="I46" s="1"/>
      <c r="J46" s="1"/>
    </row>
    <row r="47" spans="1:10" ht="15" customHeight="1" x14ac:dyDescent="0.25">
      <c r="A47" s="1"/>
      <c r="B47" s="14" t="s">
        <v>75</v>
      </c>
      <c r="C47" s="3" t="s">
        <v>81</v>
      </c>
      <c r="D47" s="45">
        <f>SUM(Tableau3[Valeur stock])</f>
        <v>5464.9000000000005</v>
      </c>
      <c r="E47" s="1"/>
      <c r="F47" s="1"/>
      <c r="G47" s="1"/>
      <c r="H47" s="1"/>
      <c r="I47" s="1"/>
      <c r="J47" s="1"/>
    </row>
    <row r="48" spans="1:10" ht="15" customHeight="1" x14ac:dyDescent="0.25">
      <c r="A48" s="1"/>
      <c r="B48" s="14" t="s">
        <v>76</v>
      </c>
      <c r="C48" s="3" t="s">
        <v>82</v>
      </c>
      <c r="D48" s="36">
        <f>COUNTIF(Tableau6[check],"Open")</f>
        <v>4</v>
      </c>
      <c r="E48" s="1"/>
      <c r="F48" s="1"/>
      <c r="G48" s="1"/>
      <c r="H48" s="1"/>
      <c r="I48" s="1"/>
      <c r="J48" s="1"/>
    </row>
    <row r="49" spans="1:10" ht="15" customHeight="1" x14ac:dyDescent="0.25">
      <c r="A49" s="1"/>
      <c r="B49" s="14" t="s">
        <v>77</v>
      </c>
      <c r="C49" s="3" t="s">
        <v>83</v>
      </c>
      <c r="D49" s="36">
        <f>COUNTIF(Tableau3[Flag],1)</f>
        <v>3</v>
      </c>
      <c r="E49" s="1"/>
      <c r="F49" s="1"/>
      <c r="G49" s="1"/>
      <c r="H49" s="1"/>
      <c r="I49" s="1"/>
      <c r="J49" s="1"/>
    </row>
    <row r="50" spans="1:10" ht="15" customHeight="1" x14ac:dyDescent="0.25">
      <c r="A50" s="1"/>
      <c r="B50" s="14" t="s">
        <v>78</v>
      </c>
      <c r="C50" s="3" t="s">
        <v>84</v>
      </c>
      <c r="D50" s="36">
        <f>COUNTIF(Tableau3[Statuts],"Active")</f>
        <v>6</v>
      </c>
      <c r="E50" s="1"/>
      <c r="F50" s="1"/>
      <c r="G50" s="1"/>
      <c r="H50" s="1"/>
      <c r="I50" s="1"/>
      <c r="J50" s="1"/>
    </row>
    <row r="51" spans="1:10" ht="15" customHeight="1" x14ac:dyDescent="0.25">
      <c r="A51" s="1"/>
      <c r="B51" s="14" t="s">
        <v>79</v>
      </c>
      <c r="C51" s="3" t="s">
        <v>132</v>
      </c>
      <c r="D51" s="49">
        <f>SUM(Tableau7[Total vendue])</f>
        <v>1337.1</v>
      </c>
      <c r="E51" s="1"/>
      <c r="F51" s="1"/>
      <c r="G51" s="1"/>
      <c r="H51" s="1"/>
      <c r="I51" s="1"/>
      <c r="J51" s="1"/>
    </row>
    <row r="52" spans="1:10" ht="15.75" customHeight="1" x14ac:dyDescent="0.25">
      <c r="A52" s="1"/>
      <c r="B52" s="14" t="s">
        <v>80</v>
      </c>
      <c r="C52" s="3" t="s">
        <v>85</v>
      </c>
      <c r="D52" s="36" t="str">
        <f>IFERROR(INDEX(Tableau7[Nr Articel],MATCH(1,Tableau7[Ranking],0)),"  ")</f>
        <v>ART-0001</v>
      </c>
      <c r="E52" s="36" t="str">
        <f>IFERROR(INDEX(Tableau7[Nr Articel],MATCH(2,Tableau7[Ranking],0))," ")</f>
        <v xml:space="preserve"> </v>
      </c>
      <c r="F52" s="36" t="str">
        <f>IFERROR(INDEX(Tableau7[Nr Articel],MATCH(3,Tableau7[Ranking],0))," ")</f>
        <v>ART-0002</v>
      </c>
      <c r="G52" s="1"/>
      <c r="H52" s="1"/>
      <c r="I52" s="1"/>
      <c r="J52" s="1"/>
    </row>
    <row r="53" spans="1:10" x14ac:dyDescent="0.25">
      <c r="A53" s="1"/>
      <c r="B53" s="1"/>
      <c r="D53" s="1"/>
      <c r="E53" s="1"/>
      <c r="F53" s="1"/>
      <c r="G53" s="1"/>
      <c r="H53" s="1"/>
      <c r="I53" s="1"/>
      <c r="J53" s="1"/>
    </row>
    <row r="54" spans="1:10" x14ac:dyDescent="0.25">
      <c r="A54" s="1"/>
      <c r="B54" s="1"/>
      <c r="C54" s="35"/>
      <c r="D54" s="1"/>
      <c r="E54" s="1"/>
      <c r="F54" s="1"/>
      <c r="G54" s="1"/>
      <c r="H54" s="1"/>
      <c r="I54" s="1"/>
      <c r="J54" s="1"/>
    </row>
    <row r="55" spans="1:1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</row>
    <row r="88" spans="1:1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</row>
    <row r="89" spans="1:1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</row>
    <row r="90" spans="1:1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</row>
    <row r="91" spans="1:1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</row>
    <row r="92" spans="1:1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</row>
    <row r="93" spans="1:1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</row>
    <row r="94" spans="1:1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</row>
    <row r="96" spans="1:1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</row>
    <row r="100" spans="1:1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102" spans="1:1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</row>
    <row r="104" spans="1:1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</row>
    <row r="106" spans="1:1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</row>
    <row r="108" spans="1:1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</row>
    <row r="109" spans="1:1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</row>
    <row r="111" spans="1:1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</row>
    <row r="113" spans="1:1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</row>
    <row r="116" spans="1:1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</row>
    <row r="119" spans="1:1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</row>
    <row r="121" spans="1:1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</row>
    <row r="123" spans="1:1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</row>
    <row r="125" spans="1:1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</row>
    <row r="127" spans="1:1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</row>
    <row r="129" spans="1:1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</row>
    <row r="130" spans="1:1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</row>
    <row r="131" spans="1:1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</row>
    <row r="132" spans="1:1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</row>
    <row r="133" spans="1:1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</row>
    <row r="134" spans="1:1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</row>
    <row r="135" spans="1:1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</row>
    <row r="136" spans="1:1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</row>
    <row r="137" spans="1:1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</row>
    <row r="138" spans="1:1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</row>
    <row r="139" spans="1:1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</row>
    <row r="140" spans="1:1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</row>
    <row r="141" spans="1:1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</row>
    <row r="142" spans="1:1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</row>
    <row r="143" spans="1:1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</row>
    <row r="144" spans="1:1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</row>
    <row r="145" spans="1:1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</row>
    <row r="146" spans="1:1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</row>
    <row r="147" spans="1:1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</row>
    <row r="150" spans="1:1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</row>
    <row r="151" spans="1:1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</row>
    <row r="152" spans="1:1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</row>
    <row r="153" spans="1:1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</row>
    <row r="154" spans="1:1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</row>
    <row r="155" spans="1:1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</row>
    <row r="156" spans="1:1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</row>
    <row r="157" spans="1:1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</row>
    <row r="158" spans="1:1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</row>
    <row r="159" spans="1:1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</row>
    <row r="160" spans="1:1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</row>
    <row r="161" spans="1:1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</row>
    <row r="162" spans="1:1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</row>
    <row r="163" spans="1:1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</row>
    <row r="164" spans="1:1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</row>
    <row r="165" spans="1:1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</row>
    <row r="166" spans="1:1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</row>
    <row r="167" spans="1:1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</row>
    <row r="168" spans="1:1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</row>
    <row r="169" spans="1:1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</row>
    <row r="170" spans="1:1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</row>
    <row r="171" spans="1:1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</row>
    <row r="172" spans="1:1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</row>
    <row r="173" spans="1:1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</row>
    <row r="174" spans="1:1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</row>
    <row r="175" spans="1:1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</row>
    <row r="176" spans="1:1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</row>
    <row r="177" spans="1:1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</row>
    <row r="178" spans="1:1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</row>
    <row r="179" spans="1:1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</row>
    <row r="180" spans="1:1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</row>
    <row r="181" spans="1:1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</row>
    <row r="182" spans="1:1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</row>
    <row r="183" spans="1:1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</row>
    <row r="184" spans="1:1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</row>
    <row r="185" spans="1:1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</row>
    <row r="186" spans="1:1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</row>
    <row r="187" spans="1:1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</row>
    <row r="188" spans="1:1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</row>
    <row r="189" spans="1:1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</row>
    <row r="190" spans="1:1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</row>
  </sheetData>
  <mergeCells count="1">
    <mergeCell ref="C35:E40"/>
  </mergeCells>
  <hyperlinks>
    <hyperlink ref="C32" r:id="rId1" xr:uid="{00000000-0004-0000-07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6</vt:i4>
      </vt:variant>
    </vt:vector>
  </HeadingPairs>
  <TitlesOfParts>
    <vt:vector size="14" baseType="lpstr">
      <vt:lpstr>Accueil</vt:lpstr>
      <vt:lpstr>Article</vt:lpstr>
      <vt:lpstr>Comande</vt:lpstr>
      <vt:lpstr>Pgae Com.</vt:lpstr>
      <vt:lpstr>Entré-Sortie</vt:lpstr>
      <vt:lpstr>Fournisseur</vt:lpstr>
      <vt:lpstr>Client</vt:lpstr>
      <vt:lpstr>Config</vt:lpstr>
      <vt:lpstr>article</vt:lpstr>
      <vt:lpstr>commande</vt:lpstr>
      <vt:lpstr>customer</vt:lpstr>
      <vt:lpstr>Supplier</vt:lpstr>
      <vt:lpstr>Tableau4</vt:lpstr>
      <vt:lpstr>'Pgae Com.'!Zone_d_impression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Ordinateur</cp:lastModifiedBy>
  <cp:lastPrinted>2021-10-22T16:51:58Z</cp:lastPrinted>
  <dcterms:created xsi:type="dcterms:W3CDTF">2019-12-18T08:19:23Z</dcterms:created>
  <dcterms:modified xsi:type="dcterms:W3CDTF">2022-02-04T15:36:15Z</dcterms:modified>
</cp:coreProperties>
</file>